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ie\Downloads\"/>
    </mc:Choice>
  </mc:AlternateContent>
  <xr:revisionPtr revIDLastSave="0" documentId="13_ncr:1_{58F517C2-67AD-464B-824D-CE962F3D526C}" xr6:coauthVersionLast="47" xr6:coauthVersionMax="47" xr10:uidLastSave="{00000000-0000-0000-0000-000000000000}"/>
  <bookViews>
    <workbookView xWindow="-108" yWindow="-108" windowWidth="23256" windowHeight="13896" activeTab="2" xr2:uid="{3BF4638B-7434-4018-AD99-8C743B11A350}"/>
  </bookViews>
  <sheets>
    <sheet name="Raw Data" sheetId="1" r:id="rId1"/>
    <sheet name="n=1" sheetId="2" r:id="rId2"/>
    <sheet name="n=6" sheetId="3" r:id="rId3"/>
  </sheets>
  <definedNames>
    <definedName name="_xlnm._FilterDatabase" localSheetId="2" hidden="1">'n=6'!$G$1:$G$145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B129" i="3"/>
  <c r="G3" i="3"/>
  <c r="G4" i="3"/>
  <c r="G5" i="3"/>
  <c r="G6" i="3"/>
  <c r="G8" i="3"/>
  <c r="G9" i="3"/>
  <c r="G10" i="3"/>
  <c r="G11" i="3"/>
  <c r="G12" i="3"/>
  <c r="G14" i="3"/>
  <c r="G15" i="3"/>
  <c r="G16" i="3"/>
  <c r="G17" i="3"/>
  <c r="G18" i="3"/>
  <c r="G20" i="3"/>
  <c r="G21" i="3"/>
  <c r="G22" i="3"/>
  <c r="G23" i="3"/>
  <c r="G24" i="3"/>
  <c r="G26" i="3"/>
  <c r="G27" i="3"/>
  <c r="G28" i="3"/>
  <c r="G29" i="3"/>
  <c r="G30" i="3"/>
  <c r="G32" i="3"/>
  <c r="G33" i="3"/>
  <c r="G34" i="3"/>
  <c r="G35" i="3"/>
  <c r="G36" i="3"/>
  <c r="G38" i="3"/>
  <c r="G39" i="3"/>
  <c r="G40" i="3"/>
  <c r="G41" i="3"/>
  <c r="G42" i="3"/>
  <c r="G44" i="3"/>
  <c r="G45" i="3"/>
  <c r="G46" i="3"/>
  <c r="G47" i="3"/>
  <c r="G48" i="3"/>
  <c r="G50" i="3"/>
  <c r="G51" i="3"/>
  <c r="G52" i="3"/>
  <c r="G53" i="3"/>
  <c r="G54" i="3"/>
  <c r="G56" i="3"/>
  <c r="G57" i="3"/>
  <c r="G58" i="3"/>
  <c r="G59" i="3"/>
  <c r="G60" i="3"/>
  <c r="G62" i="3"/>
  <c r="G63" i="3"/>
  <c r="G64" i="3"/>
  <c r="G65" i="3"/>
  <c r="G66" i="3"/>
  <c r="G68" i="3"/>
  <c r="G69" i="3"/>
  <c r="G70" i="3"/>
  <c r="G71" i="3"/>
  <c r="G72" i="3"/>
  <c r="G74" i="3"/>
  <c r="G75" i="3"/>
  <c r="G76" i="3"/>
  <c r="G77" i="3"/>
  <c r="G78" i="3"/>
  <c r="G80" i="3"/>
  <c r="G81" i="3"/>
  <c r="G82" i="3"/>
  <c r="G83" i="3"/>
  <c r="G84" i="3"/>
  <c r="G86" i="3"/>
  <c r="G87" i="3"/>
  <c r="G88" i="3"/>
  <c r="G89" i="3"/>
  <c r="G90" i="3"/>
  <c r="G92" i="3"/>
  <c r="G93" i="3"/>
  <c r="G94" i="3"/>
  <c r="G95" i="3"/>
  <c r="G96" i="3"/>
  <c r="G98" i="3"/>
  <c r="G99" i="3"/>
  <c r="G100" i="3"/>
  <c r="G101" i="3"/>
  <c r="G102" i="3"/>
  <c r="G104" i="3"/>
  <c r="G105" i="3"/>
  <c r="G106" i="3"/>
  <c r="G107" i="3"/>
  <c r="G108" i="3"/>
  <c r="G110" i="3"/>
  <c r="G111" i="3"/>
  <c r="G112" i="3"/>
  <c r="G113" i="3"/>
  <c r="G114" i="3"/>
  <c r="G116" i="3"/>
  <c r="G117" i="3"/>
  <c r="G118" i="3"/>
  <c r="G119" i="3"/>
  <c r="G120" i="3"/>
  <c r="G2" i="3"/>
  <c r="F8" i="3"/>
  <c r="F9" i="3" s="1"/>
  <c r="F10" i="3" s="1"/>
  <c r="F11" i="3" s="1"/>
  <c r="F12" i="3" s="1"/>
  <c r="F13" i="3" s="1"/>
  <c r="F14" i="3"/>
  <c r="F15" i="3"/>
  <c r="F16" i="3" s="1"/>
  <c r="F17" i="3" s="1"/>
  <c r="F18" i="3" s="1"/>
  <c r="F19" i="3" s="1"/>
  <c r="G19" i="3" s="1"/>
  <c r="F20" i="3"/>
  <c r="F21" i="3" s="1"/>
  <c r="F22" i="3" s="1"/>
  <c r="F23" i="3" s="1"/>
  <c r="F24" i="3" s="1"/>
  <c r="F25" i="3" s="1"/>
  <c r="G25" i="3" s="1"/>
  <c r="F26" i="3"/>
  <c r="F27" i="3" s="1"/>
  <c r="F28" i="3" s="1"/>
  <c r="F29" i="3" s="1"/>
  <c r="F30" i="3" s="1"/>
  <c r="F31" i="3" s="1"/>
  <c r="G31" i="3" s="1"/>
  <c r="F32" i="3"/>
  <c r="F33" i="3" s="1"/>
  <c r="F34" i="3" s="1"/>
  <c r="F35" i="3" s="1"/>
  <c r="F36" i="3" s="1"/>
  <c r="F37" i="3" s="1"/>
  <c r="G37" i="3" s="1"/>
  <c r="F38" i="3"/>
  <c r="F39" i="3" s="1"/>
  <c r="F40" i="3" s="1"/>
  <c r="F41" i="3" s="1"/>
  <c r="F42" i="3" s="1"/>
  <c r="F43" i="3" s="1"/>
  <c r="G43" i="3" s="1"/>
  <c r="F44" i="3"/>
  <c r="F45" i="3" s="1"/>
  <c r="F46" i="3" s="1"/>
  <c r="F47" i="3" s="1"/>
  <c r="F48" i="3" s="1"/>
  <c r="F49" i="3" s="1"/>
  <c r="F50" i="3"/>
  <c r="F51" i="3" s="1"/>
  <c r="F52" i="3" s="1"/>
  <c r="F53" i="3" s="1"/>
  <c r="F54" i="3" s="1"/>
  <c r="F55" i="3" s="1"/>
  <c r="F56" i="3"/>
  <c r="F57" i="3" s="1"/>
  <c r="F58" i="3" s="1"/>
  <c r="F59" i="3" s="1"/>
  <c r="F60" i="3" s="1"/>
  <c r="F61" i="3" s="1"/>
  <c r="F62" i="3"/>
  <c r="F63" i="3" s="1"/>
  <c r="F64" i="3" s="1"/>
  <c r="F65" i="3" s="1"/>
  <c r="F66" i="3" s="1"/>
  <c r="F67" i="3" s="1"/>
  <c r="G67" i="3" s="1"/>
  <c r="F68" i="3"/>
  <c r="F69" i="3" s="1"/>
  <c r="F70" i="3" s="1"/>
  <c r="F71" i="3" s="1"/>
  <c r="F72" i="3" s="1"/>
  <c r="F73" i="3" s="1"/>
  <c r="F74" i="3"/>
  <c r="F75" i="3" s="1"/>
  <c r="F76" i="3" s="1"/>
  <c r="F77" i="3" s="1"/>
  <c r="F78" i="3" s="1"/>
  <c r="F79" i="3" s="1"/>
  <c r="F80" i="3"/>
  <c r="F81" i="3"/>
  <c r="F82" i="3" s="1"/>
  <c r="F83" i="3" s="1"/>
  <c r="F84" i="3" s="1"/>
  <c r="F85" i="3" s="1"/>
  <c r="F86" i="3"/>
  <c r="F87" i="3" s="1"/>
  <c r="F88" i="3" s="1"/>
  <c r="F89" i="3" s="1"/>
  <c r="F90" i="3" s="1"/>
  <c r="F91" i="3" s="1"/>
  <c r="G91" i="3" s="1"/>
  <c r="F92" i="3"/>
  <c r="F93" i="3" s="1"/>
  <c r="F94" i="3" s="1"/>
  <c r="F95" i="3" s="1"/>
  <c r="F96" i="3" s="1"/>
  <c r="F97" i="3" s="1"/>
  <c r="G97" i="3" s="1"/>
  <c r="F98" i="3"/>
  <c r="F99" i="3" s="1"/>
  <c r="F100" i="3" s="1"/>
  <c r="F101" i="3" s="1"/>
  <c r="F102" i="3" s="1"/>
  <c r="F103" i="3" s="1"/>
  <c r="G103" i="3" s="1"/>
  <c r="F104" i="3"/>
  <c r="F105" i="3" s="1"/>
  <c r="F106" i="3" s="1"/>
  <c r="F107" i="3" s="1"/>
  <c r="F108" i="3" s="1"/>
  <c r="F109" i="3" s="1"/>
  <c r="F110" i="3"/>
  <c r="F111" i="3" s="1"/>
  <c r="F112" i="3" s="1"/>
  <c r="F113" i="3" s="1"/>
  <c r="F114" i="3" s="1"/>
  <c r="F115" i="3" s="1"/>
  <c r="F116" i="3"/>
  <c r="F117" i="3" s="1"/>
  <c r="F118" i="3" s="1"/>
  <c r="F119" i="3" s="1"/>
  <c r="F120" i="3" s="1"/>
  <c r="F121" i="3" s="1"/>
  <c r="F2" i="3"/>
  <c r="F3" i="3" s="1"/>
  <c r="F4" i="3" s="1"/>
  <c r="F5" i="3" s="1"/>
  <c r="F6" i="3" s="1"/>
  <c r="F7" i="3" s="1"/>
  <c r="B128" i="3"/>
  <c r="E8" i="3"/>
  <c r="E9" i="3"/>
  <c r="E10" i="3"/>
  <c r="E11" i="3"/>
  <c r="E12" i="3"/>
  <c r="E14" i="3"/>
  <c r="E15" i="3"/>
  <c r="E16" i="3"/>
  <c r="E17" i="3"/>
  <c r="E18" i="3"/>
  <c r="E20" i="3"/>
  <c r="E21" i="3"/>
  <c r="E22" i="3"/>
  <c r="E23" i="3"/>
  <c r="E24" i="3"/>
  <c r="E26" i="3"/>
  <c r="E27" i="3"/>
  <c r="E28" i="3"/>
  <c r="E29" i="3"/>
  <c r="E30" i="3"/>
  <c r="E32" i="3"/>
  <c r="E33" i="3"/>
  <c r="E34" i="3"/>
  <c r="E35" i="3"/>
  <c r="E36" i="3"/>
  <c r="E38" i="3"/>
  <c r="E39" i="3"/>
  <c r="E40" i="3"/>
  <c r="E41" i="3"/>
  <c r="E42" i="3"/>
  <c r="E44" i="3"/>
  <c r="E45" i="3"/>
  <c r="E46" i="3"/>
  <c r="E47" i="3"/>
  <c r="E48" i="3"/>
  <c r="E50" i="3"/>
  <c r="E51" i="3"/>
  <c r="E52" i="3"/>
  <c r="E53" i="3"/>
  <c r="E54" i="3"/>
  <c r="E56" i="3"/>
  <c r="E57" i="3"/>
  <c r="E58" i="3"/>
  <c r="E59" i="3"/>
  <c r="E60" i="3"/>
  <c r="E62" i="3"/>
  <c r="E63" i="3"/>
  <c r="E64" i="3"/>
  <c r="E65" i="3"/>
  <c r="E66" i="3"/>
  <c r="E68" i="3"/>
  <c r="E69" i="3"/>
  <c r="E70" i="3"/>
  <c r="E71" i="3"/>
  <c r="E72" i="3"/>
  <c r="E74" i="3"/>
  <c r="E75" i="3"/>
  <c r="E76" i="3"/>
  <c r="E77" i="3"/>
  <c r="E78" i="3"/>
  <c r="E80" i="3"/>
  <c r="E81" i="3"/>
  <c r="E82" i="3"/>
  <c r="E83" i="3"/>
  <c r="E84" i="3"/>
  <c r="E86" i="3"/>
  <c r="E87" i="3"/>
  <c r="E88" i="3"/>
  <c r="E89" i="3"/>
  <c r="E90" i="3"/>
  <c r="E92" i="3"/>
  <c r="E93" i="3"/>
  <c r="E94" i="3"/>
  <c r="E95" i="3"/>
  <c r="E96" i="3"/>
  <c r="E98" i="3"/>
  <c r="E99" i="3"/>
  <c r="E100" i="3"/>
  <c r="E101" i="3"/>
  <c r="E102" i="3"/>
  <c r="E104" i="3"/>
  <c r="E105" i="3"/>
  <c r="E106" i="3"/>
  <c r="E107" i="3"/>
  <c r="E108" i="3"/>
  <c r="E110" i="3"/>
  <c r="E111" i="3"/>
  <c r="E112" i="3"/>
  <c r="E113" i="3"/>
  <c r="E114" i="3"/>
  <c r="E116" i="3"/>
  <c r="E117" i="3"/>
  <c r="E118" i="3"/>
  <c r="E119" i="3"/>
  <c r="E120" i="3"/>
  <c r="E2" i="3"/>
  <c r="E3" i="3"/>
  <c r="E4" i="3"/>
  <c r="E5" i="3"/>
  <c r="E6" i="3"/>
  <c r="D8" i="3"/>
  <c r="D9" i="3" s="1"/>
  <c r="D10" i="3" s="1"/>
  <c r="D11" i="3" s="1"/>
  <c r="D12" i="3" s="1"/>
  <c r="D13" i="3" s="1"/>
  <c r="E13" i="3" s="1"/>
  <c r="E127" i="3" s="1"/>
  <c r="D14" i="3"/>
  <c r="D15" i="3" s="1"/>
  <c r="D16" i="3" s="1"/>
  <c r="D17" i="3" s="1"/>
  <c r="D18" i="3" s="1"/>
  <c r="D19" i="3" s="1"/>
  <c r="E19" i="3" s="1"/>
  <c r="E128" i="3" s="1"/>
  <c r="D20" i="3"/>
  <c r="D21" i="3" s="1"/>
  <c r="D22" i="3" s="1"/>
  <c r="D23" i="3" s="1"/>
  <c r="D24" i="3" s="1"/>
  <c r="D25" i="3" s="1"/>
  <c r="E25" i="3" s="1"/>
  <c r="E129" i="3" s="1"/>
  <c r="D26" i="3"/>
  <c r="D27" i="3" s="1"/>
  <c r="D28" i="3" s="1"/>
  <c r="D29" i="3" s="1"/>
  <c r="D30" i="3" s="1"/>
  <c r="D31" i="3" s="1"/>
  <c r="E31" i="3" s="1"/>
  <c r="E130" i="3" s="1"/>
  <c r="D32" i="3"/>
  <c r="D33" i="3" s="1"/>
  <c r="D34" i="3" s="1"/>
  <c r="D35" i="3" s="1"/>
  <c r="D36" i="3" s="1"/>
  <c r="D37" i="3" s="1"/>
  <c r="E37" i="3" s="1"/>
  <c r="E131" i="3" s="1"/>
  <c r="D38" i="3"/>
  <c r="D39" i="3" s="1"/>
  <c r="D40" i="3" s="1"/>
  <c r="D41" i="3" s="1"/>
  <c r="D42" i="3" s="1"/>
  <c r="D43" i="3" s="1"/>
  <c r="E43" i="3" s="1"/>
  <c r="E132" i="3" s="1"/>
  <c r="D44" i="3"/>
  <c r="D45" i="3" s="1"/>
  <c r="D46" i="3" s="1"/>
  <c r="D47" i="3" s="1"/>
  <c r="D48" i="3" s="1"/>
  <c r="D49" i="3" s="1"/>
  <c r="E49" i="3" s="1"/>
  <c r="E133" i="3" s="1"/>
  <c r="D50" i="3"/>
  <c r="D51" i="3" s="1"/>
  <c r="D52" i="3" s="1"/>
  <c r="D53" i="3" s="1"/>
  <c r="D54" i="3" s="1"/>
  <c r="D55" i="3" s="1"/>
  <c r="E55" i="3" s="1"/>
  <c r="E134" i="3" s="1"/>
  <c r="D56" i="3"/>
  <c r="D57" i="3" s="1"/>
  <c r="D58" i="3" s="1"/>
  <c r="D59" i="3" s="1"/>
  <c r="D60" i="3" s="1"/>
  <c r="D61" i="3" s="1"/>
  <c r="E61" i="3" s="1"/>
  <c r="E135" i="3" s="1"/>
  <c r="D62" i="3"/>
  <c r="D63" i="3" s="1"/>
  <c r="D64" i="3" s="1"/>
  <c r="D65" i="3" s="1"/>
  <c r="D66" i="3" s="1"/>
  <c r="D67" i="3" s="1"/>
  <c r="E67" i="3" s="1"/>
  <c r="E136" i="3" s="1"/>
  <c r="D68" i="3"/>
  <c r="D69" i="3" s="1"/>
  <c r="D70" i="3" s="1"/>
  <c r="D71" i="3" s="1"/>
  <c r="D72" i="3" s="1"/>
  <c r="D73" i="3" s="1"/>
  <c r="E73" i="3" s="1"/>
  <c r="E137" i="3" s="1"/>
  <c r="D74" i="3"/>
  <c r="D75" i="3" s="1"/>
  <c r="D76" i="3" s="1"/>
  <c r="D77" i="3" s="1"/>
  <c r="D78" i="3" s="1"/>
  <c r="D79" i="3" s="1"/>
  <c r="E79" i="3" s="1"/>
  <c r="E138" i="3" s="1"/>
  <c r="D80" i="3"/>
  <c r="D81" i="3" s="1"/>
  <c r="D82" i="3" s="1"/>
  <c r="D83" i="3" s="1"/>
  <c r="D84" i="3" s="1"/>
  <c r="D85" i="3" s="1"/>
  <c r="E85" i="3" s="1"/>
  <c r="E139" i="3" s="1"/>
  <c r="D86" i="3"/>
  <c r="D87" i="3" s="1"/>
  <c r="D88" i="3" s="1"/>
  <c r="D89" i="3" s="1"/>
  <c r="D90" i="3" s="1"/>
  <c r="D91" i="3" s="1"/>
  <c r="E91" i="3" s="1"/>
  <c r="E140" i="3" s="1"/>
  <c r="D92" i="3"/>
  <c r="D93" i="3" s="1"/>
  <c r="D94" i="3" s="1"/>
  <c r="D95" i="3" s="1"/>
  <c r="D96" i="3" s="1"/>
  <c r="D97" i="3" s="1"/>
  <c r="E97" i="3" s="1"/>
  <c r="E141" i="3" s="1"/>
  <c r="D98" i="3"/>
  <c r="D99" i="3" s="1"/>
  <c r="D100" i="3" s="1"/>
  <c r="D101" i="3" s="1"/>
  <c r="D102" i="3" s="1"/>
  <c r="D103" i="3" s="1"/>
  <c r="E103" i="3" s="1"/>
  <c r="E142" i="3" s="1"/>
  <c r="D104" i="3"/>
  <c r="D105" i="3" s="1"/>
  <c r="D106" i="3" s="1"/>
  <c r="D107" i="3" s="1"/>
  <c r="D108" i="3" s="1"/>
  <c r="D109" i="3" s="1"/>
  <c r="E109" i="3" s="1"/>
  <c r="E143" i="3" s="1"/>
  <c r="D110" i="3"/>
  <c r="D111" i="3" s="1"/>
  <c r="D112" i="3" s="1"/>
  <c r="D113" i="3" s="1"/>
  <c r="D114" i="3" s="1"/>
  <c r="D115" i="3" s="1"/>
  <c r="E115" i="3" s="1"/>
  <c r="E144" i="3" s="1"/>
  <c r="D116" i="3"/>
  <c r="D117" i="3" s="1"/>
  <c r="D118" i="3" s="1"/>
  <c r="D119" i="3" s="1"/>
  <c r="D120" i="3" s="1"/>
  <c r="D121" i="3" s="1"/>
  <c r="E121" i="3" s="1"/>
  <c r="E145" i="3" s="1"/>
  <c r="D2" i="3"/>
  <c r="D3" i="3" s="1"/>
  <c r="D4" i="3" s="1"/>
  <c r="D5" i="3" s="1"/>
  <c r="D6" i="3" s="1"/>
  <c r="D7" i="3" s="1"/>
  <c r="E7" i="3" s="1"/>
  <c r="E126" i="3" s="1"/>
  <c r="Y121" i="3"/>
  <c r="AB121" i="3" s="1"/>
  <c r="Y120" i="3"/>
  <c r="AB120" i="3" s="1"/>
  <c r="Y119" i="3"/>
  <c r="AB119" i="3" s="1"/>
  <c r="Y118" i="3"/>
  <c r="AB118" i="3" s="1"/>
  <c r="Y117" i="3"/>
  <c r="AB117" i="3" s="1"/>
  <c r="Y116" i="3"/>
  <c r="AB116" i="3" s="1"/>
  <c r="Y115" i="3"/>
  <c r="AB115" i="3" s="1"/>
  <c r="Y114" i="3"/>
  <c r="AB114" i="3" s="1"/>
  <c r="Y113" i="3"/>
  <c r="AB113" i="3" s="1"/>
  <c r="Y112" i="3"/>
  <c r="AB112" i="3" s="1"/>
  <c r="Y111" i="3"/>
  <c r="Y110" i="3"/>
  <c r="AB110" i="3" s="1"/>
  <c r="Y109" i="3"/>
  <c r="AB109" i="3" s="1"/>
  <c r="Y108" i="3"/>
  <c r="AB108" i="3" s="1"/>
  <c r="Y107" i="3"/>
  <c r="AB107" i="3" s="1"/>
  <c r="Y106" i="3"/>
  <c r="AB106" i="3" s="1"/>
  <c r="Y105" i="3"/>
  <c r="AB105" i="3" s="1"/>
  <c r="Y104" i="3"/>
  <c r="AB104" i="3" s="1"/>
  <c r="Y103" i="3"/>
  <c r="AB103" i="3" s="1"/>
  <c r="Y102" i="3"/>
  <c r="AB102" i="3" s="1"/>
  <c r="Y101" i="3"/>
  <c r="AB101" i="3" s="1"/>
  <c r="Y100" i="3"/>
  <c r="AB100" i="3" s="1"/>
  <c r="Y99" i="3"/>
  <c r="AB99" i="3" s="1"/>
  <c r="Y98" i="3"/>
  <c r="AB98" i="3" s="1"/>
  <c r="Y97" i="3"/>
  <c r="AB97" i="3" s="1"/>
  <c r="Y96" i="3"/>
  <c r="AB96" i="3" s="1"/>
  <c r="Y95" i="3"/>
  <c r="AB95" i="3" s="1"/>
  <c r="Y94" i="3"/>
  <c r="AB94" i="3" s="1"/>
  <c r="Y93" i="3"/>
  <c r="AB93" i="3" s="1"/>
  <c r="Y92" i="3"/>
  <c r="AB92" i="3" s="1"/>
  <c r="Y91" i="3"/>
  <c r="AB91" i="3" s="1"/>
  <c r="Y90" i="3"/>
  <c r="AB90" i="3" s="1"/>
  <c r="Y89" i="3"/>
  <c r="AB89" i="3" s="1"/>
  <c r="Y88" i="3"/>
  <c r="AB88" i="3" s="1"/>
  <c r="Y87" i="3"/>
  <c r="AB87" i="3" s="1"/>
  <c r="Y86" i="3"/>
  <c r="AB86" i="3" s="1"/>
  <c r="Y85" i="3"/>
  <c r="AB85" i="3" s="1"/>
  <c r="Y84" i="3"/>
  <c r="AB84" i="3" s="1"/>
  <c r="Y83" i="3"/>
  <c r="AB83" i="3" s="1"/>
  <c r="Y82" i="3"/>
  <c r="AB82" i="3" s="1"/>
  <c r="Y81" i="3"/>
  <c r="AB81" i="3" s="1"/>
  <c r="Y80" i="3"/>
  <c r="AB80" i="3" s="1"/>
  <c r="Y79" i="3"/>
  <c r="Y78" i="3"/>
  <c r="AB78" i="3" s="1"/>
  <c r="Y77" i="3"/>
  <c r="AB77" i="3" s="1"/>
  <c r="Y76" i="3"/>
  <c r="AB76" i="3" s="1"/>
  <c r="Y75" i="3"/>
  <c r="AB75" i="3" s="1"/>
  <c r="Y74" i="3"/>
  <c r="AB74" i="3" s="1"/>
  <c r="Y73" i="3"/>
  <c r="AB73" i="3" s="1"/>
  <c r="Y72" i="3"/>
  <c r="AB72" i="3" s="1"/>
  <c r="Y71" i="3"/>
  <c r="AB71" i="3" s="1"/>
  <c r="Y70" i="3"/>
  <c r="AB70" i="3" s="1"/>
  <c r="Y69" i="3"/>
  <c r="AB69" i="3" s="1"/>
  <c r="Y68" i="3"/>
  <c r="AB68" i="3" s="1"/>
  <c r="Y67" i="3"/>
  <c r="AB67" i="3" s="1"/>
  <c r="Y66" i="3"/>
  <c r="AB66" i="3" s="1"/>
  <c r="Y65" i="3"/>
  <c r="AB65" i="3" s="1"/>
  <c r="Y64" i="3"/>
  <c r="AB64" i="3" s="1"/>
  <c r="Y63" i="3"/>
  <c r="Y62" i="3"/>
  <c r="AB62" i="3" s="1"/>
  <c r="Y61" i="3"/>
  <c r="AB61" i="3" s="1"/>
  <c r="Y60" i="3"/>
  <c r="AB60" i="3" s="1"/>
  <c r="Y59" i="3"/>
  <c r="AB59" i="3" s="1"/>
  <c r="Y58" i="3"/>
  <c r="AB58" i="3" s="1"/>
  <c r="Y57" i="3"/>
  <c r="AB57" i="3" s="1"/>
  <c r="Y56" i="3"/>
  <c r="AB56" i="3" s="1"/>
  <c r="Y55" i="3"/>
  <c r="AB55" i="3" s="1"/>
  <c r="Y54" i="3"/>
  <c r="AB54" i="3" s="1"/>
  <c r="Y53" i="3"/>
  <c r="AB53" i="3" s="1"/>
  <c r="Y52" i="3"/>
  <c r="AB52" i="3" s="1"/>
  <c r="Y51" i="3"/>
  <c r="AB51" i="3" s="1"/>
  <c r="Y50" i="3"/>
  <c r="AB50" i="3" s="1"/>
  <c r="Y49" i="3"/>
  <c r="AB49" i="3" s="1"/>
  <c r="Y48" i="3"/>
  <c r="AB48" i="3" s="1"/>
  <c r="Y47" i="3"/>
  <c r="Y46" i="3"/>
  <c r="AB46" i="3" s="1"/>
  <c r="Y45" i="3"/>
  <c r="AB45" i="3" s="1"/>
  <c r="Y44" i="3"/>
  <c r="AB44" i="3" s="1"/>
  <c r="Y43" i="3"/>
  <c r="AB43" i="3" s="1"/>
  <c r="Y42" i="3"/>
  <c r="AB42" i="3" s="1"/>
  <c r="Y41" i="3"/>
  <c r="AB41" i="3" s="1"/>
  <c r="Y40" i="3"/>
  <c r="Y39" i="3"/>
  <c r="AB39" i="3" s="1"/>
  <c r="Y38" i="3"/>
  <c r="AB38" i="3" s="1"/>
  <c r="Y37" i="3"/>
  <c r="AB37" i="3" s="1"/>
  <c r="Y36" i="3"/>
  <c r="AB36" i="3" s="1"/>
  <c r="Y35" i="3"/>
  <c r="AB35" i="3" s="1"/>
  <c r="Y34" i="3"/>
  <c r="AB34" i="3" s="1"/>
  <c r="Y33" i="3"/>
  <c r="AB33" i="3" s="1"/>
  <c r="Y32" i="3"/>
  <c r="AB32" i="3" s="1"/>
  <c r="Y31" i="3"/>
  <c r="AB31" i="3" s="1"/>
  <c r="Y30" i="3"/>
  <c r="AB30" i="3" s="1"/>
  <c r="Y29" i="3"/>
  <c r="AB29" i="3" s="1"/>
  <c r="Y28" i="3"/>
  <c r="AB28" i="3" s="1"/>
  <c r="Y27" i="3"/>
  <c r="AB27" i="3" s="1"/>
  <c r="Y26" i="3"/>
  <c r="AB26" i="3" s="1"/>
  <c r="Y25" i="3"/>
  <c r="AB25" i="3" s="1"/>
  <c r="Y24" i="3"/>
  <c r="Y23" i="3"/>
  <c r="Y22" i="3"/>
  <c r="AB22" i="3" s="1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D3" i="2"/>
  <c r="I3" i="2" s="1"/>
  <c r="D4" i="2"/>
  <c r="D5" i="2"/>
  <c r="I5" i="2" s="1"/>
  <c r="D6" i="2"/>
  <c r="I6" i="2" s="1"/>
  <c r="D7" i="2"/>
  <c r="I7" i="2" s="1"/>
  <c r="D8" i="2"/>
  <c r="I8" i="2" s="1"/>
  <c r="D9" i="2"/>
  <c r="D10" i="2"/>
  <c r="D11" i="2"/>
  <c r="D12" i="2"/>
  <c r="I12" i="2" s="1"/>
  <c r="D13" i="2"/>
  <c r="I13" i="2" s="1"/>
  <c r="D14" i="2"/>
  <c r="D15" i="2"/>
  <c r="I15" i="2" s="1"/>
  <c r="D16" i="2"/>
  <c r="I16" i="2" s="1"/>
  <c r="D17" i="2"/>
  <c r="D18" i="2"/>
  <c r="I18" i="2" s="1"/>
  <c r="D19" i="2"/>
  <c r="I19" i="2" s="1"/>
  <c r="D20" i="2"/>
  <c r="D21" i="2"/>
  <c r="I21" i="2" s="1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T3" i="2" s="1"/>
  <c r="W3" i="2" s="1"/>
  <c r="B24" i="2"/>
  <c r="B23" i="2"/>
  <c r="Y21" i="3"/>
  <c r="AB21" i="3" s="1"/>
  <c r="N21" i="3"/>
  <c r="Y20" i="3"/>
  <c r="AB20" i="3" s="1"/>
  <c r="N20" i="3"/>
  <c r="Y19" i="3"/>
  <c r="AB19" i="3" s="1"/>
  <c r="N19" i="3"/>
  <c r="Y18" i="3"/>
  <c r="AB18" i="3" s="1"/>
  <c r="N18" i="3"/>
  <c r="Y17" i="3"/>
  <c r="AB17" i="3" s="1"/>
  <c r="N17" i="3"/>
  <c r="Y16" i="3"/>
  <c r="AB16" i="3" s="1"/>
  <c r="N16" i="3"/>
  <c r="Y15" i="3"/>
  <c r="AB15" i="3" s="1"/>
  <c r="N15" i="3"/>
  <c r="Y14" i="3"/>
  <c r="AB14" i="3" s="1"/>
  <c r="N14" i="3"/>
  <c r="Y13" i="3"/>
  <c r="AB13" i="3" s="1"/>
  <c r="N13" i="3"/>
  <c r="Y12" i="3"/>
  <c r="AB12" i="3" s="1"/>
  <c r="N12" i="3"/>
  <c r="Y11" i="3"/>
  <c r="N11" i="3"/>
  <c r="Y10" i="3"/>
  <c r="AB10" i="3" s="1"/>
  <c r="N10" i="3"/>
  <c r="Y9" i="3"/>
  <c r="AB9" i="3" s="1"/>
  <c r="N9" i="3"/>
  <c r="Y8" i="3"/>
  <c r="AB8" i="3" s="1"/>
  <c r="N8" i="3"/>
  <c r="Y7" i="3"/>
  <c r="AB7" i="3" s="1"/>
  <c r="N7" i="3"/>
  <c r="Y6" i="3"/>
  <c r="AB6" i="3" s="1"/>
  <c r="N6" i="3"/>
  <c r="Y5" i="3"/>
  <c r="AB5" i="3" s="1"/>
  <c r="N5" i="3"/>
  <c r="Y4" i="3"/>
  <c r="AB4" i="3" s="1"/>
  <c r="N4" i="3"/>
  <c r="Y3" i="3"/>
  <c r="AB3" i="3" s="1"/>
  <c r="N3" i="3"/>
  <c r="Y2" i="3"/>
  <c r="S2" i="3"/>
  <c r="S3" i="3" s="1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R2" i="3"/>
  <c r="R3" i="3" s="1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Q2" i="3"/>
  <c r="Q3" i="3" s="1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P2" i="3"/>
  <c r="P3" i="3" s="1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O2" i="3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N2" i="3"/>
  <c r="B127" i="3" s="1"/>
  <c r="K2" i="3"/>
  <c r="L2" i="3" s="1"/>
  <c r="B126" i="3" s="1"/>
  <c r="T6" i="2"/>
  <c r="T7" i="2"/>
  <c r="W7" i="2" s="1"/>
  <c r="T8" i="2"/>
  <c r="W8" i="2" s="1"/>
  <c r="T17" i="2"/>
  <c r="W17" i="2" s="1"/>
  <c r="T18" i="2"/>
  <c r="W18" i="2" s="1"/>
  <c r="T2" i="2"/>
  <c r="W2" i="2" s="1"/>
  <c r="I4" i="2"/>
  <c r="I9" i="2"/>
  <c r="I10" i="2"/>
  <c r="I11" i="2"/>
  <c r="I14" i="2"/>
  <c r="I17" i="2"/>
  <c r="I20" i="2"/>
  <c r="I2" i="2"/>
  <c r="S2" i="2" s="1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F2" i="2"/>
  <c r="G2" i="2" s="1"/>
  <c r="M2" i="2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G85" i="3" l="1"/>
  <c r="G49" i="3"/>
  <c r="G79" i="3"/>
  <c r="G73" i="3"/>
  <c r="G55" i="3"/>
  <c r="G7" i="3"/>
  <c r="G121" i="3"/>
  <c r="G115" i="3"/>
  <c r="G109" i="3"/>
  <c r="G61" i="3"/>
  <c r="G13" i="3"/>
  <c r="H126" i="3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I126" i="3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J127" i="3"/>
  <c r="J143" i="3"/>
  <c r="J128" i="3"/>
  <c r="J144" i="3"/>
  <c r="J129" i="3"/>
  <c r="J145" i="3"/>
  <c r="J130" i="3"/>
  <c r="J126" i="3"/>
  <c r="J131" i="3"/>
  <c r="J132" i="3"/>
  <c r="J133" i="3"/>
  <c r="J134" i="3"/>
  <c r="J135" i="3"/>
  <c r="J140" i="3"/>
  <c r="J136" i="3"/>
  <c r="J141" i="3"/>
  <c r="J137" i="3"/>
  <c r="J139" i="3"/>
  <c r="J142" i="3"/>
  <c r="J138" i="3"/>
  <c r="AB23" i="3"/>
  <c r="AB47" i="3"/>
  <c r="AB63" i="3"/>
  <c r="AB79" i="3"/>
  <c r="AB111" i="3"/>
  <c r="AB24" i="3"/>
  <c r="AB40" i="3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T16" i="2"/>
  <c r="W16" i="2" s="1"/>
  <c r="L2" i="2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T15" i="2"/>
  <c r="W15" i="2" s="1"/>
  <c r="T14" i="2"/>
  <c r="W14" i="2" s="1"/>
  <c r="N2" i="2"/>
  <c r="N3" i="2" s="1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T13" i="2"/>
  <c r="W13" i="2" s="1"/>
  <c r="T12" i="2"/>
  <c r="W12" i="2" s="1"/>
  <c r="T11" i="2"/>
  <c r="W11" i="2" s="1"/>
  <c r="T10" i="2"/>
  <c r="W10" i="2" s="1"/>
  <c r="T9" i="2"/>
  <c r="W9" i="2" s="1"/>
  <c r="T21" i="2"/>
  <c r="W21" i="2" s="1"/>
  <c r="T5" i="2"/>
  <c r="T20" i="2"/>
  <c r="W20" i="2" s="1"/>
  <c r="T4" i="2"/>
  <c r="W4" i="2" s="1"/>
  <c r="T19" i="2"/>
  <c r="W19" i="2" s="1"/>
  <c r="Y2" i="2"/>
  <c r="Y3" i="2" s="1"/>
  <c r="W5" i="2"/>
  <c r="V2" i="2"/>
  <c r="V3" i="2" s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W6" i="2"/>
  <c r="X2" i="2"/>
  <c r="X3" i="2" s="1"/>
  <c r="Z2" i="3"/>
  <c r="Z3" i="3" s="1"/>
  <c r="Z4" i="3" s="1"/>
  <c r="Z5" i="3" s="1"/>
  <c r="Z6" i="3" s="1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AA2" i="3"/>
  <c r="AA3" i="3" s="1"/>
  <c r="AA4" i="3" s="1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B2" i="3"/>
  <c r="T2" i="3"/>
  <c r="U2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AB11" i="3"/>
  <c r="X2" i="3"/>
  <c r="X3" i="3" s="1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U2" i="2"/>
  <c r="U3" i="2" s="1"/>
  <c r="O2" i="2"/>
  <c r="U4" i="2" l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Y4" i="2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X4" i="2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AD2" i="3"/>
  <c r="AD3" i="3" s="1"/>
  <c r="AD4" i="3" s="1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AD71" i="3" s="1"/>
  <c r="AD72" i="3" s="1"/>
  <c r="AD73" i="3" s="1"/>
  <c r="AD74" i="3" s="1"/>
  <c r="AD75" i="3" s="1"/>
  <c r="AD76" i="3" s="1"/>
  <c r="AD77" i="3" s="1"/>
  <c r="AD78" i="3" s="1"/>
  <c r="AD79" i="3" s="1"/>
  <c r="AD80" i="3" s="1"/>
  <c r="AD81" i="3" s="1"/>
  <c r="AD82" i="3" s="1"/>
  <c r="AD83" i="3" s="1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D95" i="3" s="1"/>
  <c r="AD96" i="3" s="1"/>
  <c r="AD97" i="3" s="1"/>
  <c r="AD98" i="3" s="1"/>
  <c r="AD99" i="3" s="1"/>
  <c r="AD100" i="3" s="1"/>
  <c r="AD101" i="3" s="1"/>
  <c r="AD102" i="3" s="1"/>
  <c r="AD103" i="3" s="1"/>
  <c r="AD104" i="3" s="1"/>
  <c r="AD105" i="3" s="1"/>
  <c r="AD106" i="3" s="1"/>
  <c r="AD107" i="3" s="1"/>
  <c r="AD108" i="3" s="1"/>
  <c r="AD109" i="3" s="1"/>
  <c r="AD110" i="3" s="1"/>
  <c r="AD111" i="3" s="1"/>
  <c r="AD112" i="3" s="1"/>
  <c r="AD113" i="3" s="1"/>
  <c r="AD114" i="3" s="1"/>
  <c r="AD115" i="3" s="1"/>
  <c r="AD116" i="3" s="1"/>
  <c r="AD117" i="3" s="1"/>
  <c r="AD118" i="3" s="1"/>
  <c r="AD119" i="3" s="1"/>
  <c r="AD120" i="3" s="1"/>
  <c r="AD121" i="3" s="1"/>
  <c r="AC2" i="3"/>
  <c r="AC3" i="3" s="1"/>
  <c r="AC4" i="3" s="1"/>
  <c r="AC5" i="3" s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C73" i="3" s="1"/>
  <c r="AC74" i="3" s="1"/>
  <c r="AC75" i="3" s="1"/>
  <c r="AC76" i="3" s="1"/>
  <c r="AC77" i="3" s="1"/>
  <c r="AC78" i="3" s="1"/>
  <c r="AC79" i="3" s="1"/>
  <c r="AC80" i="3" s="1"/>
  <c r="AC81" i="3" s="1"/>
  <c r="AC82" i="3" s="1"/>
  <c r="AC83" i="3" s="1"/>
  <c r="AC84" i="3" s="1"/>
  <c r="AC85" i="3" s="1"/>
  <c r="AC86" i="3" s="1"/>
  <c r="AC87" i="3" s="1"/>
  <c r="AC88" i="3" s="1"/>
  <c r="AC89" i="3" s="1"/>
  <c r="AC90" i="3" s="1"/>
  <c r="AC91" i="3" s="1"/>
  <c r="AC92" i="3" s="1"/>
  <c r="AC93" i="3" s="1"/>
  <c r="AC94" i="3" s="1"/>
  <c r="AC95" i="3" s="1"/>
  <c r="AC96" i="3" s="1"/>
  <c r="AC97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7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W2" i="3"/>
  <c r="V2" i="3"/>
  <c r="T3" i="3"/>
  <c r="O3" i="2"/>
  <c r="Q2" i="2"/>
  <c r="R2" i="2" s="1"/>
  <c r="V3" i="3" l="1"/>
  <c r="W3" i="3"/>
  <c r="T4" i="3"/>
  <c r="O4" i="2"/>
  <c r="Q3" i="2"/>
  <c r="R3" i="2" s="1"/>
  <c r="W4" i="3" l="1"/>
  <c r="V4" i="3"/>
  <c r="T5" i="3"/>
  <c r="O5" i="2"/>
  <c r="Q4" i="2"/>
  <c r="R4" i="2" s="1"/>
  <c r="W5" i="3" l="1"/>
  <c r="V5" i="3"/>
  <c r="T6" i="3"/>
  <c r="O6" i="2"/>
  <c r="Q5" i="2"/>
  <c r="R5" i="2" s="1"/>
  <c r="W6" i="3" l="1"/>
  <c r="V6" i="3"/>
  <c r="T7" i="3"/>
  <c r="O7" i="2"/>
  <c r="Q6" i="2"/>
  <c r="R6" i="2" s="1"/>
  <c r="W7" i="3" l="1"/>
  <c r="V7" i="3"/>
  <c r="T8" i="3"/>
  <c r="O8" i="2"/>
  <c r="Q7" i="2"/>
  <c r="Q8" i="2" l="1"/>
  <c r="R8" i="2" s="1"/>
  <c r="R7" i="2"/>
  <c r="W8" i="3"/>
  <c r="V8" i="3"/>
  <c r="T9" i="3"/>
  <c r="O9" i="2"/>
  <c r="W9" i="3" l="1"/>
  <c r="V9" i="3"/>
  <c r="T10" i="3"/>
  <c r="O10" i="2"/>
  <c r="Q9" i="2"/>
  <c r="R9" i="2" s="1"/>
  <c r="W10" i="3" l="1"/>
  <c r="V10" i="3"/>
  <c r="T11" i="3"/>
  <c r="O11" i="2"/>
  <c r="Q10" i="2"/>
  <c r="R10" i="2" s="1"/>
  <c r="W11" i="3" l="1"/>
  <c r="V11" i="3"/>
  <c r="T12" i="3"/>
  <c r="O12" i="2"/>
  <c r="Q11" i="2"/>
  <c r="R11" i="2" s="1"/>
  <c r="W12" i="3" l="1"/>
  <c r="V12" i="3"/>
  <c r="T13" i="3"/>
  <c r="O13" i="2"/>
  <c r="Q12" i="2"/>
  <c r="R12" i="2" s="1"/>
  <c r="V13" i="3" l="1"/>
  <c r="W13" i="3"/>
  <c r="T14" i="3"/>
  <c r="O14" i="2"/>
  <c r="Q13" i="2"/>
  <c r="R13" i="2" s="1"/>
  <c r="W14" i="3" l="1"/>
  <c r="V14" i="3"/>
  <c r="T15" i="3"/>
  <c r="O15" i="2"/>
  <c r="Q14" i="2"/>
  <c r="R14" i="2" s="1"/>
  <c r="W15" i="3" l="1"/>
  <c r="V15" i="3"/>
  <c r="T16" i="3"/>
  <c r="O16" i="2"/>
  <c r="Q15" i="2"/>
  <c r="Q16" i="2" l="1"/>
  <c r="R16" i="2" s="1"/>
  <c r="R15" i="2"/>
  <c r="W16" i="3"/>
  <c r="V16" i="3"/>
  <c r="T17" i="3"/>
  <c r="O17" i="2"/>
  <c r="W17" i="3" l="1"/>
  <c r="V17" i="3"/>
  <c r="T18" i="3"/>
  <c r="O18" i="2"/>
  <c r="Q17" i="2"/>
  <c r="Q18" i="2" l="1"/>
  <c r="R18" i="2" s="1"/>
  <c r="R17" i="2"/>
  <c r="W18" i="3"/>
  <c r="V18" i="3"/>
  <c r="T19" i="3"/>
  <c r="O19" i="2"/>
  <c r="V19" i="3" l="1"/>
  <c r="W19" i="3"/>
  <c r="T20" i="3"/>
  <c r="O20" i="2"/>
  <c r="Q19" i="2"/>
  <c r="R19" i="2" s="1"/>
  <c r="W20" i="3" l="1"/>
  <c r="V20" i="3"/>
  <c r="T21" i="3"/>
  <c r="T22" i="3" s="1"/>
  <c r="O21" i="2"/>
  <c r="Q20" i="2"/>
  <c r="T23" i="3" l="1"/>
  <c r="W22" i="3"/>
  <c r="V22" i="3"/>
  <c r="Q21" i="2"/>
  <c r="R21" i="2" s="1"/>
  <c r="R20" i="2"/>
  <c r="W21" i="3"/>
  <c r="V21" i="3"/>
  <c r="T24" i="3" l="1"/>
  <c r="W23" i="3"/>
  <c r="V23" i="3"/>
  <c r="V24" i="3" l="1"/>
  <c r="T25" i="3"/>
  <c r="W24" i="3"/>
  <c r="T26" i="3" l="1"/>
  <c r="W25" i="3"/>
  <c r="V25" i="3"/>
  <c r="T27" i="3" l="1"/>
  <c r="W26" i="3"/>
  <c r="V26" i="3"/>
  <c r="T28" i="3" l="1"/>
  <c r="W27" i="3"/>
  <c r="V27" i="3"/>
  <c r="T29" i="3" l="1"/>
  <c r="W28" i="3"/>
  <c r="V28" i="3"/>
  <c r="V29" i="3" l="1"/>
  <c r="T30" i="3"/>
  <c r="W29" i="3"/>
  <c r="T31" i="3" l="1"/>
  <c r="W30" i="3"/>
  <c r="V30" i="3"/>
  <c r="V31" i="3" l="1"/>
  <c r="T32" i="3"/>
  <c r="W31" i="3"/>
  <c r="T33" i="3" l="1"/>
  <c r="W32" i="3"/>
  <c r="V32" i="3"/>
  <c r="V33" i="3" l="1"/>
  <c r="T34" i="3"/>
  <c r="W33" i="3"/>
  <c r="T35" i="3" l="1"/>
  <c r="W34" i="3"/>
  <c r="V34" i="3"/>
  <c r="V35" i="3" l="1"/>
  <c r="T36" i="3"/>
  <c r="W35" i="3"/>
  <c r="T37" i="3" l="1"/>
  <c r="W36" i="3"/>
  <c r="V36" i="3"/>
  <c r="T38" i="3" l="1"/>
  <c r="W37" i="3"/>
  <c r="V37" i="3"/>
  <c r="V38" i="3" l="1"/>
  <c r="T39" i="3"/>
  <c r="W38" i="3"/>
  <c r="T40" i="3" l="1"/>
  <c r="W39" i="3"/>
  <c r="V39" i="3"/>
  <c r="T41" i="3" l="1"/>
  <c r="W40" i="3"/>
  <c r="V40" i="3"/>
  <c r="T42" i="3" l="1"/>
  <c r="V41" i="3"/>
  <c r="W41" i="3"/>
  <c r="T43" i="3" l="1"/>
  <c r="W42" i="3"/>
  <c r="V42" i="3"/>
  <c r="T44" i="3" l="1"/>
  <c r="W43" i="3"/>
  <c r="V43" i="3"/>
  <c r="T45" i="3" l="1"/>
  <c r="W44" i="3"/>
  <c r="V44" i="3"/>
  <c r="T46" i="3" l="1"/>
  <c r="W45" i="3"/>
  <c r="V45" i="3"/>
  <c r="T47" i="3" l="1"/>
  <c r="V46" i="3"/>
  <c r="W46" i="3"/>
  <c r="T48" i="3" l="1"/>
  <c r="W47" i="3"/>
  <c r="V47" i="3"/>
  <c r="T49" i="3" l="1"/>
  <c r="W48" i="3"/>
  <c r="V48" i="3"/>
  <c r="T50" i="3" l="1"/>
  <c r="W49" i="3"/>
  <c r="V49" i="3"/>
  <c r="T51" i="3" l="1"/>
  <c r="W50" i="3"/>
  <c r="V50" i="3"/>
  <c r="T52" i="3" l="1"/>
  <c r="V51" i="3"/>
  <c r="W51" i="3"/>
  <c r="T53" i="3" l="1"/>
  <c r="W52" i="3"/>
  <c r="V52" i="3"/>
  <c r="T54" i="3" l="1"/>
  <c r="W53" i="3"/>
  <c r="V53" i="3"/>
  <c r="T55" i="3" l="1"/>
  <c r="W54" i="3"/>
  <c r="V54" i="3"/>
  <c r="T56" i="3" l="1"/>
  <c r="W55" i="3"/>
  <c r="V55" i="3"/>
  <c r="T57" i="3" l="1"/>
  <c r="W56" i="3"/>
  <c r="V56" i="3"/>
  <c r="T58" i="3" l="1"/>
  <c r="W57" i="3"/>
  <c r="V57" i="3"/>
  <c r="T59" i="3" l="1"/>
  <c r="W58" i="3"/>
  <c r="V58" i="3"/>
  <c r="T60" i="3" l="1"/>
  <c r="W59" i="3"/>
  <c r="V59" i="3"/>
  <c r="T61" i="3" l="1"/>
  <c r="W60" i="3"/>
  <c r="V60" i="3"/>
  <c r="V61" i="3" l="1"/>
  <c r="T62" i="3"/>
  <c r="W61" i="3"/>
  <c r="V62" i="3" l="1"/>
  <c r="T63" i="3"/>
  <c r="W62" i="3"/>
  <c r="T64" i="3" l="1"/>
  <c r="W63" i="3"/>
  <c r="V63" i="3"/>
  <c r="V64" i="3" l="1"/>
  <c r="T65" i="3"/>
  <c r="W64" i="3"/>
  <c r="V65" i="3" l="1"/>
  <c r="T66" i="3"/>
  <c r="W65" i="3"/>
  <c r="V66" i="3" l="1"/>
  <c r="T67" i="3"/>
  <c r="W66" i="3"/>
  <c r="T68" i="3" l="1"/>
  <c r="W67" i="3"/>
  <c r="V67" i="3"/>
  <c r="T69" i="3" l="1"/>
  <c r="W68" i="3"/>
  <c r="V68" i="3"/>
  <c r="T70" i="3" l="1"/>
  <c r="V69" i="3"/>
  <c r="W69" i="3"/>
  <c r="T71" i="3" l="1"/>
  <c r="W70" i="3"/>
  <c r="V70" i="3"/>
  <c r="T72" i="3" l="1"/>
  <c r="W71" i="3"/>
  <c r="V71" i="3"/>
  <c r="V72" i="3" l="1"/>
  <c r="T73" i="3"/>
  <c r="W72" i="3"/>
  <c r="T74" i="3" l="1"/>
  <c r="W73" i="3"/>
  <c r="V73" i="3"/>
  <c r="T75" i="3" l="1"/>
  <c r="V74" i="3"/>
  <c r="W74" i="3"/>
  <c r="T76" i="3" l="1"/>
  <c r="W75" i="3"/>
  <c r="V75" i="3"/>
  <c r="T77" i="3" l="1"/>
  <c r="W76" i="3"/>
  <c r="V76" i="3"/>
  <c r="T78" i="3" l="1"/>
  <c r="W77" i="3"/>
  <c r="V77" i="3"/>
  <c r="T79" i="3" l="1"/>
  <c r="W78" i="3"/>
  <c r="V78" i="3"/>
  <c r="V79" i="3" l="1"/>
  <c r="T80" i="3"/>
  <c r="W79" i="3"/>
  <c r="T81" i="3" l="1"/>
  <c r="W80" i="3"/>
  <c r="V80" i="3"/>
  <c r="V81" i="3" l="1"/>
  <c r="T82" i="3"/>
  <c r="W81" i="3"/>
  <c r="T83" i="3" l="1"/>
  <c r="W82" i="3"/>
  <c r="V82" i="3"/>
  <c r="T84" i="3" l="1"/>
  <c r="W83" i="3"/>
  <c r="V83" i="3"/>
  <c r="V84" i="3" l="1"/>
  <c r="T85" i="3"/>
  <c r="W84" i="3"/>
  <c r="T86" i="3" l="1"/>
  <c r="V85" i="3"/>
  <c r="W85" i="3"/>
  <c r="V86" i="3" l="1"/>
  <c r="T87" i="3"/>
  <c r="W86" i="3"/>
  <c r="T88" i="3" l="1"/>
  <c r="W87" i="3"/>
  <c r="V87" i="3"/>
  <c r="T89" i="3" l="1"/>
  <c r="W88" i="3"/>
  <c r="V88" i="3"/>
  <c r="T90" i="3" l="1"/>
  <c r="W89" i="3"/>
  <c r="V89" i="3"/>
  <c r="T91" i="3" l="1"/>
  <c r="V90" i="3"/>
  <c r="W90" i="3"/>
  <c r="T92" i="3" l="1"/>
  <c r="W91" i="3"/>
  <c r="V91" i="3"/>
  <c r="T93" i="3" l="1"/>
  <c r="W92" i="3"/>
  <c r="V92" i="3"/>
  <c r="V93" i="3" l="1"/>
  <c r="T94" i="3"/>
  <c r="W93" i="3"/>
  <c r="T95" i="3" l="1"/>
  <c r="W94" i="3"/>
  <c r="V94" i="3"/>
  <c r="V95" i="3" l="1"/>
  <c r="T96" i="3"/>
  <c r="W95" i="3"/>
  <c r="T97" i="3" l="1"/>
  <c r="W96" i="3"/>
  <c r="V96" i="3"/>
  <c r="T98" i="3" l="1"/>
  <c r="W97" i="3"/>
  <c r="V97" i="3"/>
  <c r="V98" i="3" s="1"/>
  <c r="T99" i="3" l="1"/>
  <c r="W98" i="3"/>
  <c r="T100" i="3" l="1"/>
  <c r="W99" i="3"/>
  <c r="V99" i="3"/>
  <c r="V100" i="3" s="1"/>
  <c r="T101" i="3" l="1"/>
  <c r="W100" i="3"/>
  <c r="T102" i="3" l="1"/>
  <c r="W101" i="3"/>
  <c r="V101" i="3"/>
  <c r="V102" i="3" s="1"/>
  <c r="T103" i="3" l="1"/>
  <c r="W102" i="3"/>
  <c r="T104" i="3" l="1"/>
  <c r="W103" i="3"/>
  <c r="V103" i="3"/>
  <c r="V104" i="3" s="1"/>
  <c r="T105" i="3" l="1"/>
  <c r="W104" i="3"/>
  <c r="T106" i="3" l="1"/>
  <c r="W105" i="3"/>
  <c r="V105" i="3"/>
  <c r="T107" i="3" l="1"/>
  <c r="W106" i="3"/>
  <c r="V106" i="3"/>
  <c r="T108" i="3" l="1"/>
  <c r="W107" i="3"/>
  <c r="V107" i="3"/>
  <c r="T109" i="3" l="1"/>
  <c r="W108" i="3"/>
  <c r="V108" i="3"/>
  <c r="T110" i="3" l="1"/>
  <c r="W109" i="3"/>
  <c r="V109" i="3"/>
  <c r="T111" i="3" l="1"/>
  <c r="W110" i="3"/>
  <c r="V110" i="3"/>
  <c r="T112" i="3" l="1"/>
  <c r="V111" i="3"/>
  <c r="W111" i="3"/>
  <c r="T113" i="3" l="1"/>
  <c r="W112" i="3"/>
  <c r="V112" i="3"/>
  <c r="T114" i="3" l="1"/>
  <c r="W113" i="3"/>
  <c r="V113" i="3"/>
  <c r="V114" i="3" l="1"/>
  <c r="T115" i="3"/>
  <c r="W114" i="3"/>
  <c r="T116" i="3" l="1"/>
  <c r="W115" i="3"/>
  <c r="V115" i="3"/>
  <c r="V116" i="3" l="1"/>
  <c r="T117" i="3"/>
  <c r="W116" i="3"/>
  <c r="T118" i="3" l="1"/>
  <c r="V117" i="3"/>
  <c r="W117" i="3"/>
  <c r="T119" i="3" l="1"/>
  <c r="W118" i="3"/>
  <c r="V118" i="3"/>
  <c r="T120" i="3" l="1"/>
  <c r="W119" i="3"/>
  <c r="V119" i="3"/>
  <c r="T121" i="3" l="1"/>
  <c r="W120" i="3"/>
  <c r="V120" i="3"/>
  <c r="W121" i="3" l="1"/>
  <c r="V121" i="3"/>
</calcChain>
</file>

<file path=xl/sharedStrings.xml><?xml version="1.0" encoding="utf-8"?>
<sst xmlns="http://schemas.openxmlformats.org/spreadsheetml/2006/main" count="70" uniqueCount="38">
  <si>
    <t>Length of Pretzel (cm)</t>
  </si>
  <si>
    <t>Sample</t>
  </si>
  <si>
    <t>Observation</t>
  </si>
  <si>
    <t>mu_0</t>
  </si>
  <si>
    <t>sigma_0</t>
  </si>
  <si>
    <t>sample</t>
  </si>
  <si>
    <t>xi</t>
  </si>
  <si>
    <t>ai+</t>
  </si>
  <si>
    <t>ai</t>
  </si>
  <si>
    <t>ai-</t>
  </si>
  <si>
    <t>ai+ new</t>
  </si>
  <si>
    <t>ai- new</t>
  </si>
  <si>
    <t>delta</t>
  </si>
  <si>
    <t>k</t>
  </si>
  <si>
    <t>K</t>
  </si>
  <si>
    <t>h</t>
  </si>
  <si>
    <t>H</t>
  </si>
  <si>
    <t>Ci+</t>
  </si>
  <si>
    <t>Ci-</t>
  </si>
  <si>
    <t>Ni+</t>
  </si>
  <si>
    <t>mu_1</t>
  </si>
  <si>
    <t>Ci+FIR</t>
  </si>
  <si>
    <t>z_i</t>
  </si>
  <si>
    <t>Std zi+</t>
  </si>
  <si>
    <t>Std zi-</t>
  </si>
  <si>
    <t>vi</t>
  </si>
  <si>
    <t>V Si+</t>
  </si>
  <si>
    <t>V Si-</t>
  </si>
  <si>
    <t>observation</t>
  </si>
  <si>
    <t>accum</t>
  </si>
  <si>
    <t>mean</t>
  </si>
  <si>
    <t>mu0</t>
  </si>
  <si>
    <t>n</t>
  </si>
  <si>
    <t>accum2</t>
  </si>
  <si>
    <t>std zi+</t>
  </si>
  <si>
    <t>std zi-</t>
  </si>
  <si>
    <t>Si2</t>
  </si>
  <si>
    <t>sigma0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</si>
</sst>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'n=1'!$J$1</c:f>
              <c:strCache>
                <c:ptCount val="1"/>
                <c:pt idx="0">
                  <c:v>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'n=1'!$J$2:$J$21</c:f>
              <c:numCache>
                <c:formatCode>General</c:formatCode>
                <c:ptCount val="20"/>
                <c:pt idx="0">
                  <c:v>-0.39500000000000135</c:v>
                </c:pt>
                <c:pt idx="1">
                  <c:v>0.10999999999999766</c:v>
                </c:pt>
                <c:pt idx="2">
                  <c:v>0.21499999999999631</c:v>
                </c:pt>
                <c:pt idx="3">
                  <c:v>0.31999999999999496</c:v>
                </c:pt>
                <c:pt idx="4">
                  <c:v>0.22499999999999432</c:v>
                </c:pt>
                <c:pt idx="5">
                  <c:v>-7.000000000000739E-2</c:v>
                </c:pt>
                <c:pt idx="6">
                  <c:v>0.43499999999999162</c:v>
                </c:pt>
                <c:pt idx="7">
                  <c:v>0.23999999999999133</c:v>
                </c:pt>
                <c:pt idx="8">
                  <c:v>-5.5000000000010374E-2</c:v>
                </c:pt>
                <c:pt idx="9">
                  <c:v>-0.35000000000001208</c:v>
                </c:pt>
                <c:pt idx="10">
                  <c:v>-0.34500000000001307</c:v>
                </c:pt>
                <c:pt idx="11">
                  <c:v>-0.64000000000001478</c:v>
                </c:pt>
                <c:pt idx="12">
                  <c:v>-1.0350000000000161</c:v>
                </c:pt>
                <c:pt idx="13">
                  <c:v>-0.83000000000001783</c:v>
                </c:pt>
                <c:pt idx="14">
                  <c:v>-0.62500000000001954</c:v>
                </c:pt>
                <c:pt idx="15">
                  <c:v>-0.32000000000001982</c:v>
                </c:pt>
                <c:pt idx="16">
                  <c:v>-0.21500000000002117</c:v>
                </c:pt>
                <c:pt idx="17">
                  <c:v>8.9999999999978542E-2</c:v>
                </c:pt>
                <c:pt idx="18">
                  <c:v>-0.10500000000002174</c:v>
                </c:pt>
                <c:pt idx="19">
                  <c:v>-2.3092638912203256E-14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0FF-AFFA-102A6C2C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579775"/>
        <c:axId val="1509583615"/>
      </c:lineChart>
      <c:catAx>
        <c:axId val="150957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83615"/>
        <c:crosses val="autoZero"/>
        <c:auto val="1"/>
        <c:lblAlgn val="ctr"/>
        <c:lblOffset val="100"/>
        <c:noMultiLvlLbl val="0"/>
      </c:catAx>
      <c:valAx>
        <c:axId val="150958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7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</a:t>
            </a:r>
            <a:r>
              <a:rPr lang="en-CA" baseline="0"/>
              <a:t> Step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'n=1'!$J$1</c:f>
              <c:strCache>
                <c:ptCount val="1"/>
                <c:pt idx="0">
                  <c:v>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'n=1'!$J$2:$J$21</c:f>
              <c:numCache>
                <c:formatCode>General</c:formatCode>
                <c:ptCount val="20"/>
                <c:pt idx="0">
                  <c:v>-0.39500000000000135</c:v>
                </c:pt>
                <c:pt idx="1">
                  <c:v>0.10999999999999766</c:v>
                </c:pt>
                <c:pt idx="2">
                  <c:v>0.21499999999999631</c:v>
                </c:pt>
                <c:pt idx="3">
                  <c:v>0.31999999999999496</c:v>
                </c:pt>
                <c:pt idx="4">
                  <c:v>0.22499999999999432</c:v>
                </c:pt>
                <c:pt idx="5">
                  <c:v>-7.000000000000739E-2</c:v>
                </c:pt>
                <c:pt idx="6">
                  <c:v>0.43499999999999162</c:v>
                </c:pt>
                <c:pt idx="7">
                  <c:v>0.23999999999999133</c:v>
                </c:pt>
                <c:pt idx="8">
                  <c:v>-5.5000000000010374E-2</c:v>
                </c:pt>
                <c:pt idx="9">
                  <c:v>-0.35000000000001208</c:v>
                </c:pt>
                <c:pt idx="10">
                  <c:v>-0.34500000000001307</c:v>
                </c:pt>
                <c:pt idx="11">
                  <c:v>-0.64000000000001478</c:v>
                </c:pt>
                <c:pt idx="12">
                  <c:v>-1.0350000000000161</c:v>
                </c:pt>
                <c:pt idx="13">
                  <c:v>-0.83000000000001783</c:v>
                </c:pt>
                <c:pt idx="14">
                  <c:v>-0.62500000000001954</c:v>
                </c:pt>
                <c:pt idx="15">
                  <c:v>-0.32000000000001982</c:v>
                </c:pt>
                <c:pt idx="16">
                  <c:v>-0.21500000000002117</c:v>
                </c:pt>
                <c:pt idx="17">
                  <c:v>8.9999999999978542E-2</c:v>
                </c:pt>
                <c:pt idx="18">
                  <c:v>-0.10500000000002174</c:v>
                </c:pt>
                <c:pt idx="19">
                  <c:v>-2.3092638912203256E-14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0-466E-B2FD-F0C5C03B1619}"/>
            </c:ext>
          </c:extLst>
        </c:ser>
        <c:ser>
          <c:idx val="1"/>
          <c:order val="1"/>
          <c:tx>
            <c:strRef>
              <c:f>'n=1'!$K$1</c:f>
              <c:strCache>
                <c:ptCount val="1"/>
                <c:pt idx="0">
                  <c:v>ai+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'n=1'!$K$2:$K$21</c:f>
              <c:numCache>
                <c:formatCode>General</c:formatCode>
                <c:ptCount val="20"/>
                <c:pt idx="0">
                  <c:v>0</c:v>
                </c:pt>
                <c:pt idx="1">
                  <c:v>0.50499999999999901</c:v>
                </c:pt>
                <c:pt idx="2">
                  <c:v>0.60999999999999766</c:v>
                </c:pt>
                <c:pt idx="3">
                  <c:v>0.71499999999999631</c:v>
                </c:pt>
                <c:pt idx="4">
                  <c:v>0.71499999999999631</c:v>
                </c:pt>
                <c:pt idx="5">
                  <c:v>0.71499999999999631</c:v>
                </c:pt>
                <c:pt idx="6">
                  <c:v>1.2199999999999953</c:v>
                </c:pt>
                <c:pt idx="7">
                  <c:v>1.2199999999999953</c:v>
                </c:pt>
                <c:pt idx="8">
                  <c:v>1.2199999999999953</c:v>
                </c:pt>
                <c:pt idx="9">
                  <c:v>1.2199999999999953</c:v>
                </c:pt>
                <c:pt idx="10">
                  <c:v>1.2249999999999943</c:v>
                </c:pt>
                <c:pt idx="11">
                  <c:v>1.2249999999999943</c:v>
                </c:pt>
                <c:pt idx="12">
                  <c:v>1.2249999999999943</c:v>
                </c:pt>
                <c:pt idx="13">
                  <c:v>1.4299999999999926</c:v>
                </c:pt>
                <c:pt idx="14">
                  <c:v>1.6349999999999909</c:v>
                </c:pt>
                <c:pt idx="15">
                  <c:v>1.9399999999999906</c:v>
                </c:pt>
                <c:pt idx="16">
                  <c:v>2.0449999999999893</c:v>
                </c:pt>
                <c:pt idx="17">
                  <c:v>2.349999999999989</c:v>
                </c:pt>
                <c:pt idx="18">
                  <c:v>2.349999999999989</c:v>
                </c:pt>
                <c:pt idx="19">
                  <c:v>2.4549999999999876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0-466E-B2FD-F0C5C03B1619}"/>
            </c:ext>
          </c:extLst>
        </c:ser>
        <c:ser>
          <c:idx val="2"/>
          <c:order val="2"/>
          <c:tx>
            <c:strRef>
              <c:f>'n=1'!$L$1</c:f>
              <c:strCache>
                <c:ptCount val="1"/>
                <c:pt idx="0">
                  <c:v>ai-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'n=1'!$L$2:$L$21</c:f>
              <c:numCache>
                <c:formatCode>General</c:formatCode>
                <c:ptCount val="20"/>
                <c:pt idx="0">
                  <c:v>0.39500000000000135</c:v>
                </c:pt>
                <c:pt idx="1">
                  <c:v>0.39500000000000135</c:v>
                </c:pt>
                <c:pt idx="2">
                  <c:v>0.39500000000000135</c:v>
                </c:pt>
                <c:pt idx="3">
                  <c:v>0.39500000000000135</c:v>
                </c:pt>
                <c:pt idx="4">
                  <c:v>0.49000000000000199</c:v>
                </c:pt>
                <c:pt idx="5">
                  <c:v>0.78500000000000369</c:v>
                </c:pt>
                <c:pt idx="6">
                  <c:v>0.78500000000000369</c:v>
                </c:pt>
                <c:pt idx="7">
                  <c:v>0.98000000000000398</c:v>
                </c:pt>
                <c:pt idx="8">
                  <c:v>1.2750000000000057</c:v>
                </c:pt>
                <c:pt idx="9">
                  <c:v>1.5700000000000074</c:v>
                </c:pt>
                <c:pt idx="10">
                  <c:v>1.5700000000000074</c:v>
                </c:pt>
                <c:pt idx="11">
                  <c:v>1.8650000000000091</c:v>
                </c:pt>
                <c:pt idx="12">
                  <c:v>2.2600000000000104</c:v>
                </c:pt>
                <c:pt idx="13">
                  <c:v>2.2600000000000104</c:v>
                </c:pt>
                <c:pt idx="14">
                  <c:v>2.2600000000000104</c:v>
                </c:pt>
                <c:pt idx="15">
                  <c:v>2.2600000000000104</c:v>
                </c:pt>
                <c:pt idx="16">
                  <c:v>2.2600000000000104</c:v>
                </c:pt>
                <c:pt idx="17">
                  <c:v>2.2600000000000104</c:v>
                </c:pt>
                <c:pt idx="18">
                  <c:v>2.4550000000000107</c:v>
                </c:pt>
                <c:pt idx="19">
                  <c:v>2.4550000000000107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0-466E-B2FD-F0C5C03B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78991"/>
        <c:axId val="1914950671"/>
      </c:lineChart>
      <c:catAx>
        <c:axId val="19149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50671"/>
        <c:crosses val="autoZero"/>
        <c:auto val="1"/>
        <c:lblAlgn val="ctr"/>
        <c:lblOffset val="100"/>
        <c:noMultiLvlLbl val="0"/>
      </c:catAx>
      <c:valAx>
        <c:axId val="191495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7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</a:t>
            </a:r>
            <a:r>
              <a:rPr lang="en-CA" baseline="0"/>
              <a:t> Step 3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'n=1'!$K$1</c:f>
              <c:strCache>
                <c:ptCount val="1"/>
                <c:pt idx="0">
                  <c:v>ai+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'n=1'!$K$2:$K$21</c:f>
              <c:numCache>
                <c:formatCode>General</c:formatCode>
                <c:ptCount val="20"/>
                <c:pt idx="0">
                  <c:v>0</c:v>
                </c:pt>
                <c:pt idx="1">
                  <c:v>0.50499999999999901</c:v>
                </c:pt>
                <c:pt idx="2">
                  <c:v>0.60999999999999766</c:v>
                </c:pt>
                <c:pt idx="3">
                  <c:v>0.71499999999999631</c:v>
                </c:pt>
                <c:pt idx="4">
                  <c:v>0.71499999999999631</c:v>
                </c:pt>
                <c:pt idx="5">
                  <c:v>0.71499999999999631</c:v>
                </c:pt>
                <c:pt idx="6">
                  <c:v>1.2199999999999953</c:v>
                </c:pt>
                <c:pt idx="7">
                  <c:v>1.2199999999999953</c:v>
                </c:pt>
                <c:pt idx="8">
                  <c:v>1.2199999999999953</c:v>
                </c:pt>
                <c:pt idx="9">
                  <c:v>1.2199999999999953</c:v>
                </c:pt>
                <c:pt idx="10">
                  <c:v>1.2249999999999943</c:v>
                </c:pt>
                <c:pt idx="11">
                  <c:v>1.2249999999999943</c:v>
                </c:pt>
                <c:pt idx="12">
                  <c:v>1.2249999999999943</c:v>
                </c:pt>
                <c:pt idx="13">
                  <c:v>1.4299999999999926</c:v>
                </c:pt>
                <c:pt idx="14">
                  <c:v>1.6349999999999909</c:v>
                </c:pt>
                <c:pt idx="15">
                  <c:v>1.9399999999999906</c:v>
                </c:pt>
                <c:pt idx="16">
                  <c:v>2.0449999999999893</c:v>
                </c:pt>
                <c:pt idx="17">
                  <c:v>2.349999999999989</c:v>
                </c:pt>
                <c:pt idx="18">
                  <c:v>2.349999999999989</c:v>
                </c:pt>
                <c:pt idx="19">
                  <c:v>2.4549999999999876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C-4D33-AC7E-B298BDF0D6A1}"/>
            </c:ext>
          </c:extLst>
        </c:ser>
        <c:ser>
          <c:idx val="1"/>
          <c:order val="1"/>
          <c:tx>
            <c:strRef>
              <c:f>'n=1'!$L$1</c:f>
              <c:strCache>
                <c:ptCount val="1"/>
                <c:pt idx="0">
                  <c:v>ai-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'n=1'!$L$2:$L$21</c:f>
              <c:numCache>
                <c:formatCode>General</c:formatCode>
                <c:ptCount val="20"/>
                <c:pt idx="0">
                  <c:v>0.39500000000000135</c:v>
                </c:pt>
                <c:pt idx="1">
                  <c:v>0.39500000000000135</c:v>
                </c:pt>
                <c:pt idx="2">
                  <c:v>0.39500000000000135</c:v>
                </c:pt>
                <c:pt idx="3">
                  <c:v>0.39500000000000135</c:v>
                </c:pt>
                <c:pt idx="4">
                  <c:v>0.49000000000000199</c:v>
                </c:pt>
                <c:pt idx="5">
                  <c:v>0.78500000000000369</c:v>
                </c:pt>
                <c:pt idx="6">
                  <c:v>0.78500000000000369</c:v>
                </c:pt>
                <c:pt idx="7">
                  <c:v>0.98000000000000398</c:v>
                </c:pt>
                <c:pt idx="8">
                  <c:v>1.2750000000000057</c:v>
                </c:pt>
                <c:pt idx="9">
                  <c:v>1.5700000000000074</c:v>
                </c:pt>
                <c:pt idx="10">
                  <c:v>1.5700000000000074</c:v>
                </c:pt>
                <c:pt idx="11">
                  <c:v>1.8650000000000091</c:v>
                </c:pt>
                <c:pt idx="12">
                  <c:v>2.2600000000000104</c:v>
                </c:pt>
                <c:pt idx="13">
                  <c:v>2.2600000000000104</c:v>
                </c:pt>
                <c:pt idx="14">
                  <c:v>2.2600000000000104</c:v>
                </c:pt>
                <c:pt idx="15">
                  <c:v>2.2600000000000104</c:v>
                </c:pt>
                <c:pt idx="16">
                  <c:v>2.2600000000000104</c:v>
                </c:pt>
                <c:pt idx="17">
                  <c:v>2.2600000000000104</c:v>
                </c:pt>
                <c:pt idx="18">
                  <c:v>2.4550000000000107</c:v>
                </c:pt>
                <c:pt idx="19">
                  <c:v>2.4550000000000107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C-4D33-AC7E-B298BDF0D6A1}"/>
            </c:ext>
          </c:extLst>
        </c:ser>
        <c:ser>
          <c:idx val="2"/>
          <c:order val="2"/>
          <c:tx>
            <c:strRef>
              <c:f>'n=1'!$M$1</c:f>
              <c:strCache>
                <c:ptCount val="1"/>
                <c:pt idx="0">
                  <c:v>ai+ new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'n=1'!$M$2:$M$21</c:f>
              <c:numCache>
                <c:formatCode>General</c:formatCode>
                <c:ptCount val="20"/>
                <c:pt idx="0">
                  <c:v>0</c:v>
                </c:pt>
                <c:pt idx="1">
                  <c:v>0.50499999999999901</c:v>
                </c:pt>
                <c:pt idx="2">
                  <c:v>0.60999999999999766</c:v>
                </c:pt>
                <c:pt idx="3">
                  <c:v>0.71499999999999631</c:v>
                </c:pt>
                <c:pt idx="4">
                  <c:v>0.61999999999999567</c:v>
                </c:pt>
                <c:pt idx="5">
                  <c:v>0.32499999999999396</c:v>
                </c:pt>
                <c:pt idx="6">
                  <c:v>0.82999999999999297</c:v>
                </c:pt>
                <c:pt idx="7">
                  <c:v>0.63499999999999268</c:v>
                </c:pt>
                <c:pt idx="8">
                  <c:v>0.33999999999999098</c:v>
                </c:pt>
                <c:pt idx="9">
                  <c:v>4.4999999999989271E-2</c:v>
                </c:pt>
                <c:pt idx="10">
                  <c:v>4.9999999999988276E-2</c:v>
                </c:pt>
                <c:pt idx="11">
                  <c:v>0</c:v>
                </c:pt>
                <c:pt idx="12">
                  <c:v>0</c:v>
                </c:pt>
                <c:pt idx="13">
                  <c:v>0.20499999999999829</c:v>
                </c:pt>
                <c:pt idx="14">
                  <c:v>0.40999999999999659</c:v>
                </c:pt>
                <c:pt idx="15">
                  <c:v>0.71499999999999631</c:v>
                </c:pt>
                <c:pt idx="16">
                  <c:v>0.81999999999999496</c:v>
                </c:pt>
                <c:pt idx="17">
                  <c:v>1.1249999999999947</c:v>
                </c:pt>
                <c:pt idx="18">
                  <c:v>0.92999999999999439</c:v>
                </c:pt>
                <c:pt idx="19">
                  <c:v>1.034999999999993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0C-4D33-AC7E-B298BDF0D6A1}"/>
            </c:ext>
          </c:extLst>
        </c:ser>
        <c:ser>
          <c:idx val="3"/>
          <c:order val="3"/>
          <c:tx>
            <c:strRef>
              <c:f>'n=1'!$N$1</c:f>
              <c:strCache>
                <c:ptCount val="1"/>
                <c:pt idx="0">
                  <c:v>ai- new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'n=1'!$N$2:$N$21</c:f>
              <c:numCache>
                <c:formatCode>General</c:formatCode>
                <c:ptCount val="20"/>
                <c:pt idx="0">
                  <c:v>0.39500000000000135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9.5000000000000639E-2</c:v>
                </c:pt>
                <c:pt idx="5">
                  <c:v>0.39000000000000234</c:v>
                </c:pt>
                <c:pt idx="6">
                  <c:v>0</c:v>
                </c:pt>
                <c:pt idx="7">
                  <c:v>0.19500000000000028</c:v>
                </c:pt>
                <c:pt idx="8">
                  <c:v>0.49000000000000199</c:v>
                </c:pt>
                <c:pt idx="9">
                  <c:v>0.78500000000000369</c:v>
                </c:pt>
                <c:pt idx="10">
                  <c:v>0.78000000000000469</c:v>
                </c:pt>
                <c:pt idx="11">
                  <c:v>1.0750000000000064</c:v>
                </c:pt>
                <c:pt idx="12">
                  <c:v>1.4700000000000077</c:v>
                </c:pt>
                <c:pt idx="13">
                  <c:v>1.2650000000000095</c:v>
                </c:pt>
                <c:pt idx="14">
                  <c:v>1.0600000000000112</c:v>
                </c:pt>
                <c:pt idx="15">
                  <c:v>0.75500000000001144</c:v>
                </c:pt>
                <c:pt idx="16">
                  <c:v>0.65000000000001279</c:v>
                </c:pt>
                <c:pt idx="17">
                  <c:v>0.34500000000001307</c:v>
                </c:pt>
                <c:pt idx="18">
                  <c:v>0.54000000000001336</c:v>
                </c:pt>
                <c:pt idx="19">
                  <c:v>0.43500000000001471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0C-4D33-AC7E-B298BDF0D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67951"/>
        <c:axId val="1914961231"/>
      </c:lineChart>
      <c:catAx>
        <c:axId val="19149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61231"/>
        <c:crosses val="autoZero"/>
        <c:auto val="1"/>
        <c:lblAlgn val="ctr"/>
        <c:lblOffset val="100"/>
        <c:noMultiLvlLbl val="0"/>
      </c:catAx>
      <c:valAx>
        <c:axId val="19149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6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 Step</a:t>
            </a:r>
            <a:r>
              <a:rPr lang="en-CA" baseline="0"/>
              <a:t> 4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'n=1'!$M$1</c:f>
              <c:strCache>
                <c:ptCount val="1"/>
                <c:pt idx="0">
                  <c:v>ai+ new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'n=1'!$M$2:$M$21</c:f>
              <c:numCache>
                <c:formatCode>General</c:formatCode>
                <c:ptCount val="20"/>
                <c:pt idx="0">
                  <c:v>0</c:v>
                </c:pt>
                <c:pt idx="1">
                  <c:v>0.50499999999999901</c:v>
                </c:pt>
                <c:pt idx="2">
                  <c:v>0.60999999999999766</c:v>
                </c:pt>
                <c:pt idx="3">
                  <c:v>0.71499999999999631</c:v>
                </c:pt>
                <c:pt idx="4">
                  <c:v>0.61999999999999567</c:v>
                </c:pt>
                <c:pt idx="5">
                  <c:v>0.32499999999999396</c:v>
                </c:pt>
                <c:pt idx="6">
                  <c:v>0.82999999999999297</c:v>
                </c:pt>
                <c:pt idx="7">
                  <c:v>0.63499999999999268</c:v>
                </c:pt>
                <c:pt idx="8">
                  <c:v>0.33999999999999098</c:v>
                </c:pt>
                <c:pt idx="9">
                  <c:v>4.4999999999989271E-2</c:v>
                </c:pt>
                <c:pt idx="10">
                  <c:v>4.9999999999988276E-2</c:v>
                </c:pt>
                <c:pt idx="11">
                  <c:v>0</c:v>
                </c:pt>
                <c:pt idx="12">
                  <c:v>0</c:v>
                </c:pt>
                <c:pt idx="13">
                  <c:v>0.20499999999999829</c:v>
                </c:pt>
                <c:pt idx="14">
                  <c:v>0.40999999999999659</c:v>
                </c:pt>
                <c:pt idx="15">
                  <c:v>0.71499999999999631</c:v>
                </c:pt>
                <c:pt idx="16">
                  <c:v>0.81999999999999496</c:v>
                </c:pt>
                <c:pt idx="17">
                  <c:v>1.1249999999999947</c:v>
                </c:pt>
                <c:pt idx="18">
                  <c:v>0.92999999999999439</c:v>
                </c:pt>
                <c:pt idx="19">
                  <c:v>1.034999999999993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D-4C9C-AD73-D9D5D72F3472}"/>
            </c:ext>
          </c:extLst>
        </c:ser>
        <c:ser>
          <c:idx val="1"/>
          <c:order val="1"/>
          <c:tx>
            <c:strRef>
              <c:f>'n=1'!$N$1</c:f>
              <c:strCache>
                <c:ptCount val="1"/>
                <c:pt idx="0">
                  <c:v>ai- new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'n=1'!$N$2:$N$21</c:f>
              <c:numCache>
                <c:formatCode>General</c:formatCode>
                <c:ptCount val="20"/>
                <c:pt idx="0">
                  <c:v>0.39500000000000135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9.5000000000000639E-2</c:v>
                </c:pt>
                <c:pt idx="5">
                  <c:v>0.39000000000000234</c:v>
                </c:pt>
                <c:pt idx="6">
                  <c:v>0</c:v>
                </c:pt>
                <c:pt idx="7">
                  <c:v>0.19500000000000028</c:v>
                </c:pt>
                <c:pt idx="8">
                  <c:v>0.49000000000000199</c:v>
                </c:pt>
                <c:pt idx="9">
                  <c:v>0.78500000000000369</c:v>
                </c:pt>
                <c:pt idx="10">
                  <c:v>0.78000000000000469</c:v>
                </c:pt>
                <c:pt idx="11">
                  <c:v>1.0750000000000064</c:v>
                </c:pt>
                <c:pt idx="12">
                  <c:v>1.4700000000000077</c:v>
                </c:pt>
                <c:pt idx="13">
                  <c:v>1.2650000000000095</c:v>
                </c:pt>
                <c:pt idx="14">
                  <c:v>1.0600000000000112</c:v>
                </c:pt>
                <c:pt idx="15">
                  <c:v>0.75500000000001144</c:v>
                </c:pt>
                <c:pt idx="16">
                  <c:v>0.65000000000001279</c:v>
                </c:pt>
                <c:pt idx="17">
                  <c:v>0.34500000000001307</c:v>
                </c:pt>
                <c:pt idx="18">
                  <c:v>0.54000000000001336</c:v>
                </c:pt>
                <c:pt idx="19">
                  <c:v>0.43500000000001471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D-4C9C-AD73-D9D5D72F3472}"/>
            </c:ext>
          </c:extLst>
        </c:ser>
        <c:ser>
          <c:idx val="2"/>
          <c:order val="2"/>
          <c:tx>
            <c:strRef>
              <c:f>'n=1'!$O$1</c:f>
              <c:strCache>
                <c:ptCount val="1"/>
                <c:pt idx="0">
                  <c:v>Ci+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'n=1'!$O$2:$O$21</c:f>
              <c:numCache>
                <c:formatCode>General</c:formatCode>
                <c:ptCount val="20"/>
                <c:pt idx="0">
                  <c:v>0</c:v>
                </c:pt>
                <c:pt idx="1">
                  <c:v>0.36129434322381743</c:v>
                </c:pt>
                <c:pt idx="2">
                  <c:v>0.3225886864476345</c:v>
                </c:pt>
                <c:pt idx="3">
                  <c:v>0.28388302967145157</c:v>
                </c:pt>
                <c:pt idx="4">
                  <c:v>4.5177372895269352E-2</c:v>
                </c:pt>
                <c:pt idx="5">
                  <c:v>0</c:v>
                </c:pt>
                <c:pt idx="6">
                  <c:v>0.36129434322381743</c:v>
                </c:pt>
                <c:pt idx="7">
                  <c:v>2.2588686447635564E-2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6.1294343223816716E-2</c:v>
                </c:pt>
                <c:pt idx="14">
                  <c:v>0.12258868644763343</c:v>
                </c:pt>
                <c:pt idx="15">
                  <c:v>0.28388302967145157</c:v>
                </c:pt>
                <c:pt idx="16">
                  <c:v>0.24517737289526864</c:v>
                </c:pt>
                <c:pt idx="17">
                  <c:v>0.40647171611908678</c:v>
                </c:pt>
                <c:pt idx="18">
                  <c:v>6.7766059342904916E-2</c:v>
                </c:pt>
                <c:pt idx="19">
                  <c:v>2.9060402566721988E-2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D-4C9C-AD73-D9D5D72F3472}"/>
            </c:ext>
          </c:extLst>
        </c:ser>
        <c:ser>
          <c:idx val="3"/>
          <c:order val="3"/>
          <c:tx>
            <c:strRef>
              <c:f>'n=1'!$P$1</c:f>
              <c:strCache>
                <c:ptCount val="1"/>
                <c:pt idx="0">
                  <c:v>Ci-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'n=1'!$P$2:$P$21</c:f>
              <c:numCache>
                <c:formatCode>General</c:formatCode>
                <c:ptCount val="20"/>
                <c:pt idx="0">
                  <c:v>-0.25129434322381977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-0.15129434322382013</c:v>
                </c:pt>
                <c:pt idx="6">
                  <c:v>0</c:v>
                </c:pt>
                <c:pt idx="7">
                  <c:v>-5.1294343223818706E-2</c:v>
                </c:pt>
                <c:pt idx="8">
                  <c:v>-0.10000000000000142</c:v>
                </c:pt>
                <c:pt idx="9">
                  <c:v>-5.1294343223818706E-2</c:v>
                </c:pt>
                <c:pt idx="10">
                  <c:v>0</c:v>
                </c:pt>
                <c:pt idx="11">
                  <c:v>-0.15129434322382013</c:v>
                </c:pt>
                <c:pt idx="12">
                  <c:v>-9.9999999999999645E-2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-5.1294343223818706E-2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D-4C9C-AD73-D9D5D72F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659407"/>
        <c:axId val="1618653647"/>
      </c:lineChart>
      <c:catAx>
        <c:axId val="16186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53647"/>
        <c:crosses val="autoZero"/>
        <c:auto val="1"/>
        <c:lblAlgn val="ctr"/>
        <c:lblOffset val="100"/>
        <c:noMultiLvlLbl val="0"/>
      </c:catAx>
      <c:valAx>
        <c:axId val="161865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 (n=1)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'n=1'!$I$1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'n=1'!$I$2:$I$21</c:f>
              <c:numCache>
                <c:formatCode>General</c:formatCode>
                <c:ptCount val="20"/>
                <c:pt idx="0">
                  <c:v>1.3709519656447722</c:v>
                </c:pt>
                <c:pt idx="1">
                  <c:v>1.3709519656447722</c:v>
                </c:pt>
                <c:pt idx="2">
                  <c:v>1.3709519656447722</c:v>
                </c:pt>
                <c:pt idx="3">
                  <c:v>1.3709519656447722</c:v>
                </c:pt>
                <c:pt idx="4">
                  <c:v>1.3709519656447722</c:v>
                </c:pt>
                <c:pt idx="5">
                  <c:v>1.3709519656447722</c:v>
                </c:pt>
                <c:pt idx="6">
                  <c:v>1.3709519656447722</c:v>
                </c:pt>
                <c:pt idx="7">
                  <c:v>1.3709519656447722</c:v>
                </c:pt>
                <c:pt idx="8">
                  <c:v>1.3709519656447722</c:v>
                </c:pt>
                <c:pt idx="9">
                  <c:v>1.3709519656447722</c:v>
                </c:pt>
                <c:pt idx="10">
                  <c:v>1.3709519656447722</c:v>
                </c:pt>
                <c:pt idx="11">
                  <c:v>1.3709519656447722</c:v>
                </c:pt>
                <c:pt idx="12">
                  <c:v>1.3709519656447722</c:v>
                </c:pt>
                <c:pt idx="13">
                  <c:v>1.3709519656447722</c:v>
                </c:pt>
                <c:pt idx="14">
                  <c:v>1.3709519656447722</c:v>
                </c:pt>
                <c:pt idx="15">
                  <c:v>1.3709519656447722</c:v>
                </c:pt>
                <c:pt idx="16">
                  <c:v>1.3709519656447722</c:v>
                </c:pt>
                <c:pt idx="17">
                  <c:v>1.3709519656447722</c:v>
                </c:pt>
                <c:pt idx="18">
                  <c:v>1.3709519656447722</c:v>
                </c:pt>
                <c:pt idx="19">
                  <c:v>1.3709519656447722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F-4736-B6B9-64FDC762E25C}"/>
            </c:ext>
          </c:extLst>
        </c:ser>
        <c:ser>
          <c:idx val="1"/>
          <c:order val="1"/>
          <c:tx>
            <c:strRef>
              <c:f>'n=1'!$O$1</c:f>
              <c:strCache>
                <c:ptCount val="1"/>
                <c:pt idx="0">
                  <c:v>Ci+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'n=1'!$O$2:$O$21</c:f>
              <c:numCache>
                <c:formatCode>General</c:formatCode>
                <c:ptCount val="20"/>
                <c:pt idx="0">
                  <c:v>0</c:v>
                </c:pt>
                <c:pt idx="1">
                  <c:v>0.36129434322381743</c:v>
                </c:pt>
                <c:pt idx="2">
                  <c:v>0.3225886864476345</c:v>
                </c:pt>
                <c:pt idx="3">
                  <c:v>0.28388302967145157</c:v>
                </c:pt>
                <c:pt idx="4">
                  <c:v>4.5177372895269352E-2</c:v>
                </c:pt>
                <c:pt idx="5">
                  <c:v>0</c:v>
                </c:pt>
                <c:pt idx="6">
                  <c:v>0.36129434322381743</c:v>
                </c:pt>
                <c:pt idx="7">
                  <c:v>2.2588686447635564E-2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6.1294343223816716E-2</c:v>
                </c:pt>
                <c:pt idx="14">
                  <c:v>0.12258868644763343</c:v>
                </c:pt>
                <c:pt idx="15">
                  <c:v>0.28388302967145157</c:v>
                </c:pt>
                <c:pt idx="16">
                  <c:v>0.24517737289526864</c:v>
                </c:pt>
                <c:pt idx="17">
                  <c:v>0.40647171611908678</c:v>
                </c:pt>
                <c:pt idx="18">
                  <c:v>6.7766059342904916E-2</c:v>
                </c:pt>
                <c:pt idx="19">
                  <c:v>2.9060402566721988E-2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F-4736-B6B9-64FDC762E25C}"/>
            </c:ext>
          </c:extLst>
        </c:ser>
        <c:ser>
          <c:idx val="2"/>
          <c:order val="2"/>
          <c:tx>
            <c:strRef>
              <c:f>'n=1'!$P$1</c:f>
              <c:strCache>
                <c:ptCount val="1"/>
                <c:pt idx="0">
                  <c:v>Ci-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'n=1'!$P$2:$P$21</c:f>
              <c:numCache>
                <c:formatCode>General</c:formatCode>
                <c:ptCount val="20"/>
                <c:pt idx="0">
                  <c:v>-0.25129434322381977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-0.15129434322382013</c:v>
                </c:pt>
                <c:pt idx="6">
                  <c:v>0</c:v>
                </c:pt>
                <c:pt idx="7">
                  <c:v>-5.1294343223818706E-2</c:v>
                </c:pt>
                <c:pt idx="8">
                  <c:v>-0.10000000000000142</c:v>
                </c:pt>
                <c:pt idx="9">
                  <c:v>-5.1294343223818706E-2</c:v>
                </c:pt>
                <c:pt idx="10">
                  <c:v>0</c:v>
                </c:pt>
                <c:pt idx="11">
                  <c:v>-0.15129434322382013</c:v>
                </c:pt>
                <c:pt idx="12">
                  <c:v>-9.9999999999999645E-2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-5.1294343223818706E-2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FF-4736-B6B9-64FDC762E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70831"/>
        <c:axId val="1914966991"/>
      </c:lineChart>
      <c:catAx>
        <c:axId val="191497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66991"/>
        <c:crosses val="autoZero"/>
        <c:auto val="1"/>
        <c:lblAlgn val="ctr"/>
        <c:lblOffset val="100"/>
        <c:noMultiLvlLbl val="0"/>
      </c:catAx>
      <c:valAx>
        <c:axId val="19149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 with FIR (n=1)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'n=1'!$I$1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'n=1'!$I$2:$I$21</c:f>
              <c:numCache>
                <c:formatCode>General</c:formatCode>
                <c:ptCount val="20"/>
                <c:pt idx="0">
                  <c:v>1.3709519656447722</c:v>
                </c:pt>
                <c:pt idx="1">
                  <c:v>1.3709519656447722</c:v>
                </c:pt>
                <c:pt idx="2">
                  <c:v>1.3709519656447722</c:v>
                </c:pt>
                <c:pt idx="3">
                  <c:v>1.3709519656447722</c:v>
                </c:pt>
                <c:pt idx="4">
                  <c:v>1.3709519656447722</c:v>
                </c:pt>
                <c:pt idx="5">
                  <c:v>1.3709519656447722</c:v>
                </c:pt>
                <c:pt idx="6">
                  <c:v>1.3709519656447722</c:v>
                </c:pt>
                <c:pt idx="7">
                  <c:v>1.3709519656447722</c:v>
                </c:pt>
                <c:pt idx="8">
                  <c:v>1.3709519656447722</c:v>
                </c:pt>
                <c:pt idx="9">
                  <c:v>1.3709519656447722</c:v>
                </c:pt>
                <c:pt idx="10">
                  <c:v>1.3709519656447722</c:v>
                </c:pt>
                <c:pt idx="11">
                  <c:v>1.3709519656447722</c:v>
                </c:pt>
                <c:pt idx="12">
                  <c:v>1.3709519656447722</c:v>
                </c:pt>
                <c:pt idx="13">
                  <c:v>1.3709519656447722</c:v>
                </c:pt>
                <c:pt idx="14">
                  <c:v>1.3709519656447722</c:v>
                </c:pt>
                <c:pt idx="15">
                  <c:v>1.3709519656447722</c:v>
                </c:pt>
                <c:pt idx="16">
                  <c:v>1.3709519656447722</c:v>
                </c:pt>
                <c:pt idx="17">
                  <c:v>1.3709519656447722</c:v>
                </c:pt>
                <c:pt idx="18">
                  <c:v>1.3709519656447722</c:v>
                </c:pt>
                <c:pt idx="19">
                  <c:v>1.3709519656447722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7-4CB2-B761-AF462990DAC5}"/>
            </c:ext>
          </c:extLst>
        </c:ser>
        <c:ser>
          <c:idx val="1"/>
          <c:order val="1"/>
          <c:tx>
            <c:strRef>
              <c:f>'n=1'!$O$1</c:f>
              <c:strCache>
                <c:ptCount val="1"/>
                <c:pt idx="0">
                  <c:v>Ci+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'n=1'!$O$2:$O$21</c:f>
              <c:numCache>
                <c:formatCode>General</c:formatCode>
                <c:ptCount val="20"/>
                <c:pt idx="0">
                  <c:v>0</c:v>
                </c:pt>
                <c:pt idx="1">
                  <c:v>0.36129434322381743</c:v>
                </c:pt>
                <c:pt idx="2">
                  <c:v>0.3225886864476345</c:v>
                </c:pt>
                <c:pt idx="3">
                  <c:v>0.28388302967145157</c:v>
                </c:pt>
                <c:pt idx="4">
                  <c:v>4.5177372895269352E-2</c:v>
                </c:pt>
                <c:pt idx="5">
                  <c:v>0</c:v>
                </c:pt>
                <c:pt idx="6">
                  <c:v>0.36129434322381743</c:v>
                </c:pt>
                <c:pt idx="7">
                  <c:v>2.2588686447635564E-2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6.1294343223816716E-2</c:v>
                </c:pt>
                <c:pt idx="14">
                  <c:v>0.12258868644763343</c:v>
                </c:pt>
                <c:pt idx="15">
                  <c:v>0.28388302967145157</c:v>
                </c:pt>
                <c:pt idx="16">
                  <c:v>0.24517737289526864</c:v>
                </c:pt>
                <c:pt idx="17">
                  <c:v>0.40647171611908678</c:v>
                </c:pt>
                <c:pt idx="18">
                  <c:v>6.7766059342904916E-2</c:v>
                </c:pt>
                <c:pt idx="19">
                  <c:v>2.9060402566721988E-2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7-4CB2-B761-AF462990DAC5}"/>
            </c:ext>
          </c:extLst>
        </c:ser>
        <c:ser>
          <c:idx val="2"/>
          <c:order val="2"/>
          <c:tx>
            <c:strRef>
              <c:f>'n=1'!$S$1</c:f>
              <c:strCache>
                <c:ptCount val="1"/>
                <c:pt idx="0">
                  <c:v>Ci+FIR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'n=1'!$S$2:$S$21</c:f>
              <c:numCache>
                <c:formatCode>General</c:formatCode>
                <c:ptCount val="20"/>
                <c:pt idx="0">
                  <c:v>0.1467703260462031</c:v>
                </c:pt>
                <c:pt idx="1">
                  <c:v>0.50806466927002059</c:v>
                </c:pt>
                <c:pt idx="2">
                  <c:v>0.46935901249383766</c:v>
                </c:pt>
                <c:pt idx="3">
                  <c:v>0.43065335571765473</c:v>
                </c:pt>
                <c:pt idx="4">
                  <c:v>0.19194769894147251</c:v>
                </c:pt>
                <c:pt idx="5">
                  <c:v>0</c:v>
                </c:pt>
                <c:pt idx="6">
                  <c:v>0.36129434322381743</c:v>
                </c:pt>
                <c:pt idx="7">
                  <c:v>2.2588686447635564E-2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6.1294343223816716E-2</c:v>
                </c:pt>
                <c:pt idx="14">
                  <c:v>0.12258868644763343</c:v>
                </c:pt>
                <c:pt idx="15">
                  <c:v>0.28388302967145157</c:v>
                </c:pt>
                <c:pt idx="16">
                  <c:v>0.24517737289526864</c:v>
                </c:pt>
                <c:pt idx="17">
                  <c:v>0.40647171611908678</c:v>
                </c:pt>
                <c:pt idx="18">
                  <c:v>6.7766059342904916E-2</c:v>
                </c:pt>
                <c:pt idx="19">
                  <c:v>2.9060402566721988E-2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7-4CB2-B761-AF462990D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49711"/>
        <c:axId val="1914969391"/>
      </c:lineChart>
      <c:catAx>
        <c:axId val="19149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69391"/>
        <c:crosses val="autoZero"/>
        <c:auto val="1"/>
        <c:lblAlgn val="ctr"/>
        <c:lblOffset val="100"/>
        <c:noMultiLvlLbl val="0"/>
      </c:catAx>
      <c:valAx>
        <c:axId val="19149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Standardized CUSUM (n=1)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'n=1'!$H$1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'n=1'!$H$2:$H$21</c:f>
              <c:numCache>
                <c:formatCode>General</c:formatCode>
                <c:ptCount val="20"/>
                <c:pt idx="0">
                  <c:v>4.7699999999999996</c:v>
                </c:pt>
                <c:pt idx="1">
                  <c:v>4.7699999999999996</c:v>
                </c:pt>
                <c:pt idx="2">
                  <c:v>4.7699999999999996</c:v>
                </c:pt>
                <c:pt idx="3">
                  <c:v>4.7699999999999996</c:v>
                </c:pt>
                <c:pt idx="4">
                  <c:v>4.7699999999999996</c:v>
                </c:pt>
                <c:pt idx="5">
                  <c:v>4.7699999999999996</c:v>
                </c:pt>
                <c:pt idx="6">
                  <c:v>4.7699999999999996</c:v>
                </c:pt>
                <c:pt idx="7">
                  <c:v>4.7699999999999996</c:v>
                </c:pt>
                <c:pt idx="8">
                  <c:v>4.7699999999999996</c:v>
                </c:pt>
                <c:pt idx="9">
                  <c:v>4.7699999999999996</c:v>
                </c:pt>
                <c:pt idx="10">
                  <c:v>4.7699999999999996</c:v>
                </c:pt>
                <c:pt idx="11">
                  <c:v>4.7699999999999996</c:v>
                </c:pt>
                <c:pt idx="12">
                  <c:v>4.7699999999999996</c:v>
                </c:pt>
                <c:pt idx="13">
                  <c:v>4.7699999999999996</c:v>
                </c:pt>
                <c:pt idx="14">
                  <c:v>4.7699999999999996</c:v>
                </c:pt>
                <c:pt idx="15">
                  <c:v>4.7699999999999996</c:v>
                </c:pt>
                <c:pt idx="16">
                  <c:v>4.7699999999999996</c:v>
                </c:pt>
                <c:pt idx="17">
                  <c:v>4.7699999999999996</c:v>
                </c:pt>
                <c:pt idx="18">
                  <c:v>4.7699999999999996</c:v>
                </c:pt>
                <c:pt idx="19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5-4564-94E0-73A997219BA4}"/>
            </c:ext>
          </c:extLst>
        </c:ser>
        <c:ser>
          <c:idx val="1"/>
          <c:order val="1"/>
          <c:tx>
            <c:strRef>
              <c:f>'n=1'!$U$1</c:f>
              <c:strCache>
                <c:ptCount val="1"/>
                <c:pt idx="0">
                  <c:v>Std zi+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'n=1'!$U$2:$U$21</c:f>
              <c:numCache>
                <c:formatCode>General</c:formatCode>
                <c:ptCount val="20"/>
                <c:pt idx="0">
                  <c:v>0</c:v>
                </c:pt>
                <c:pt idx="1">
                  <c:v>1.2570637486683125</c:v>
                </c:pt>
                <c:pt idx="2">
                  <c:v>1.1223938350250864</c:v>
                </c:pt>
                <c:pt idx="3">
                  <c:v>0.98772392138186027</c:v>
                </c:pt>
                <c:pt idx="4">
                  <c:v>0.15718717658286785</c:v>
                </c:pt>
                <c:pt idx="5">
                  <c:v>0</c:v>
                </c:pt>
                <c:pt idx="6">
                  <c:v>1.2570637486683125</c:v>
                </c:pt>
                <c:pt idx="7">
                  <c:v>7.8593588291437033E-2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0.21326350193465704</c:v>
                </c:pt>
                <c:pt idx="14">
                  <c:v>0.42652700386931408</c:v>
                </c:pt>
                <c:pt idx="15">
                  <c:v>0.98772392138186049</c:v>
                </c:pt>
                <c:pt idx="16">
                  <c:v>0.85305400773863438</c:v>
                </c:pt>
                <c:pt idx="17">
                  <c:v>1.4142509252511808</c:v>
                </c:pt>
                <c:pt idx="18">
                  <c:v>0.23578076487430533</c:v>
                </c:pt>
                <c:pt idx="19">
                  <c:v>0.10111085123107921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5-4564-94E0-73A997219BA4}"/>
            </c:ext>
          </c:extLst>
        </c:ser>
        <c:ser>
          <c:idx val="2"/>
          <c:order val="2"/>
          <c:tx>
            <c:strRef>
              <c:f>'n=1'!$V$1</c:f>
              <c:strCache>
                <c:ptCount val="1"/>
                <c:pt idx="0">
                  <c:v>Std zi-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'n=1'!$V$2:$V$21</c:f>
              <c:numCache>
                <c:formatCode>General</c:formatCode>
                <c:ptCount val="20"/>
                <c:pt idx="0">
                  <c:v>-0.87433699153264799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-0.52640357595476472</c:v>
                </c:pt>
                <c:pt idx="6">
                  <c:v>0</c:v>
                </c:pt>
                <c:pt idx="7">
                  <c:v>-0.17847016037687546</c:v>
                </c:pt>
                <c:pt idx="8">
                  <c:v>-0.34793341557788926</c:v>
                </c:pt>
                <c:pt idx="9">
                  <c:v>-0.17847016037687546</c:v>
                </c:pt>
                <c:pt idx="10">
                  <c:v>0</c:v>
                </c:pt>
                <c:pt idx="11">
                  <c:v>-0.52640357595476472</c:v>
                </c:pt>
                <c:pt idx="12">
                  <c:v>-0.34793341557788326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-0.17847016037687546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5-4564-94E0-73A99721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58831"/>
        <c:axId val="1914954991"/>
      </c:lineChart>
      <c:catAx>
        <c:axId val="19149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54991"/>
        <c:crosses val="autoZero"/>
        <c:auto val="1"/>
        <c:lblAlgn val="ctr"/>
        <c:lblOffset val="100"/>
        <c:noMultiLvlLbl val="0"/>
      </c:catAx>
      <c:valAx>
        <c:axId val="19149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5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CUSUM</a:t>
            </a:r>
            <a:r>
              <a:rPr lang="en-CA" baseline="0"/>
              <a:t> for Mean and Variance (n=1)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'n=1'!$H$1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'n=1'!$H$2:$H$21</c:f>
              <c:numCache>
                <c:formatCode>General</c:formatCode>
                <c:ptCount val="20"/>
                <c:pt idx="0">
                  <c:v>4.7699999999999996</c:v>
                </c:pt>
                <c:pt idx="1">
                  <c:v>4.7699999999999996</c:v>
                </c:pt>
                <c:pt idx="2">
                  <c:v>4.7699999999999996</c:v>
                </c:pt>
                <c:pt idx="3">
                  <c:v>4.7699999999999996</c:v>
                </c:pt>
                <c:pt idx="4">
                  <c:v>4.7699999999999996</c:v>
                </c:pt>
                <c:pt idx="5">
                  <c:v>4.7699999999999996</c:v>
                </c:pt>
                <c:pt idx="6">
                  <c:v>4.7699999999999996</c:v>
                </c:pt>
                <c:pt idx="7">
                  <c:v>4.7699999999999996</c:v>
                </c:pt>
                <c:pt idx="8">
                  <c:v>4.7699999999999996</c:v>
                </c:pt>
                <c:pt idx="9">
                  <c:v>4.7699999999999996</c:v>
                </c:pt>
                <c:pt idx="10">
                  <c:v>4.7699999999999996</c:v>
                </c:pt>
                <c:pt idx="11">
                  <c:v>4.7699999999999996</c:v>
                </c:pt>
                <c:pt idx="12">
                  <c:v>4.7699999999999996</c:v>
                </c:pt>
                <c:pt idx="13">
                  <c:v>4.7699999999999996</c:v>
                </c:pt>
                <c:pt idx="14">
                  <c:v>4.7699999999999996</c:v>
                </c:pt>
                <c:pt idx="15">
                  <c:v>4.7699999999999996</c:v>
                </c:pt>
                <c:pt idx="16">
                  <c:v>4.7699999999999996</c:v>
                </c:pt>
                <c:pt idx="17">
                  <c:v>4.7699999999999996</c:v>
                </c:pt>
                <c:pt idx="18">
                  <c:v>4.7699999999999996</c:v>
                </c:pt>
                <c:pt idx="19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4-4F7C-988B-9CC180D9055F}"/>
            </c:ext>
          </c:extLst>
        </c:ser>
        <c:ser>
          <c:idx val="1"/>
          <c:order val="1"/>
          <c:tx>
            <c:strRef>
              <c:f>'n=1'!$U$1</c:f>
              <c:strCache>
                <c:ptCount val="1"/>
                <c:pt idx="0">
                  <c:v>Std zi+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'n=1'!$U$2:$U$21</c:f>
              <c:numCache>
                <c:formatCode>General</c:formatCode>
                <c:ptCount val="20"/>
                <c:pt idx="0">
                  <c:v>0</c:v>
                </c:pt>
                <c:pt idx="1">
                  <c:v>1.2570637486683125</c:v>
                </c:pt>
                <c:pt idx="2">
                  <c:v>1.1223938350250864</c:v>
                </c:pt>
                <c:pt idx="3">
                  <c:v>0.98772392138186027</c:v>
                </c:pt>
                <c:pt idx="4">
                  <c:v>0.15718717658286785</c:v>
                </c:pt>
                <c:pt idx="5">
                  <c:v>0</c:v>
                </c:pt>
                <c:pt idx="6">
                  <c:v>1.2570637486683125</c:v>
                </c:pt>
                <c:pt idx="7">
                  <c:v>7.8593588291437033E-2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0.21326350193465704</c:v>
                </c:pt>
                <c:pt idx="14">
                  <c:v>0.42652700386931408</c:v>
                </c:pt>
                <c:pt idx="15">
                  <c:v>0.98772392138186049</c:v>
                </c:pt>
                <c:pt idx="16">
                  <c:v>0.85305400773863438</c:v>
                </c:pt>
                <c:pt idx="17">
                  <c:v>1.4142509252511808</c:v>
                </c:pt>
                <c:pt idx="18">
                  <c:v>0.23578076487430533</c:v>
                </c:pt>
                <c:pt idx="19">
                  <c:v>0.10111085123107921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4-4F7C-988B-9CC180D9055F}"/>
            </c:ext>
          </c:extLst>
        </c:ser>
        <c:ser>
          <c:idx val="2"/>
          <c:order val="2"/>
          <c:tx>
            <c:strRef>
              <c:f>'n=1'!$V$1</c:f>
              <c:strCache>
                <c:ptCount val="1"/>
                <c:pt idx="0">
                  <c:v>Std zi-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'n=1'!$V$2:$V$21</c:f>
              <c:numCache>
                <c:formatCode>General</c:formatCode>
                <c:ptCount val="20"/>
                <c:pt idx="0">
                  <c:v>-0.87433699153264799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-0.52640357595476472</c:v>
                </c:pt>
                <c:pt idx="6">
                  <c:v>0</c:v>
                </c:pt>
                <c:pt idx="7">
                  <c:v>-0.17847016037687546</c:v>
                </c:pt>
                <c:pt idx="8">
                  <c:v>-0.34793341557788926</c:v>
                </c:pt>
                <c:pt idx="9">
                  <c:v>-0.17847016037687546</c:v>
                </c:pt>
                <c:pt idx="10">
                  <c:v>0</c:v>
                </c:pt>
                <c:pt idx="11">
                  <c:v>-0.52640357595476472</c:v>
                </c:pt>
                <c:pt idx="12">
                  <c:v>-0.34793341557788326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-0.17847016037687546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E4-4F7C-988B-9CC180D9055F}"/>
            </c:ext>
          </c:extLst>
        </c:ser>
        <c:ser>
          <c:idx val="3"/>
          <c:order val="3"/>
          <c:tx>
            <c:strRef>
              <c:f>'n=1'!$X$1</c:f>
              <c:strCache>
                <c:ptCount val="1"/>
                <c:pt idx="0">
                  <c:v>V Si+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'n=1'!$X$2:$X$21</c:f>
              <c:numCache>
                <c:formatCode>General</c:formatCode>
                <c:ptCount val="20"/>
                <c:pt idx="0">
                  <c:v>0.50378566793034207</c:v>
                </c:pt>
                <c:pt idx="1">
                  <c:v>1.4466017505626987</c:v>
                </c:pt>
                <c:pt idx="2">
                  <c:v>0.32317888052720201</c:v>
                </c:pt>
                <c:pt idx="3">
                  <c:v>0</c:v>
                </c:pt>
                <c:pt idx="4">
                  <c:v>0</c:v>
                </c:pt>
                <c:pt idx="5">
                  <c:v>4.7609673882280656E-2</c:v>
                </c:pt>
                <c:pt idx="6">
                  <c:v>0.99042575651463727</c:v>
                </c:pt>
                <c:pt idx="7">
                  <c:v>0.49527676308102075</c:v>
                </c:pt>
                <c:pt idx="8">
                  <c:v>0.54288643696330141</c:v>
                </c:pt>
                <c:pt idx="9">
                  <c:v>0.59049611084558207</c:v>
                </c:pt>
                <c:pt idx="10">
                  <c:v>0</c:v>
                </c:pt>
                <c:pt idx="11">
                  <c:v>4.7609673882280656E-2</c:v>
                </c:pt>
                <c:pt idx="12">
                  <c:v>0.55139534181262273</c:v>
                </c:pt>
                <c:pt idx="13">
                  <c:v>0.11600648573092964</c:v>
                </c:pt>
                <c:pt idx="14">
                  <c:v>0</c:v>
                </c:pt>
                <c:pt idx="15">
                  <c:v>9.6401503241768549E-2</c:v>
                </c:pt>
                <c:pt idx="16">
                  <c:v>0</c:v>
                </c:pt>
                <c:pt idx="17">
                  <c:v>9.6401503241768549E-2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E4-4F7C-988B-9CC180D9055F}"/>
            </c:ext>
          </c:extLst>
        </c:ser>
        <c:ser>
          <c:idx val="4"/>
          <c:order val="4"/>
          <c:tx>
            <c:strRef>
              <c:f>'n=1'!$Y$1</c:f>
              <c:strCache>
                <c:ptCount val="1"/>
                <c:pt idx="0">
                  <c:v>V Si-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'n=1'!$Y$2:$Y$21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-0.12342287003549657</c:v>
                </c:pt>
                <c:pt idx="3">
                  <c:v>0</c:v>
                </c:pt>
                <c:pt idx="4">
                  <c:v>-0.20795630021522893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-1.4773740985702213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-0.12342287003549657</c:v>
                </c:pt>
                <c:pt idx="17">
                  <c:v>0</c:v>
                </c:pt>
                <c:pt idx="18">
                  <c:v>0</c:v>
                </c:pt>
                <c:pt idx="19">
                  <c:v>-0.12342287003549657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E4-4F7C-988B-9CC180D9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00591"/>
        <c:axId val="1915001071"/>
      </c:lineChart>
      <c:catAx>
        <c:axId val="191500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01071"/>
        <c:crosses val="autoZero"/>
        <c:auto val="1"/>
        <c:lblAlgn val="ctr"/>
        <c:lblOffset val="100"/>
        <c:noMultiLvlLbl val="0"/>
      </c:catAx>
      <c:valAx>
        <c:axId val="19150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0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800" b="0" i="0" baseline="0">
                <a:effectLst/>
              </a:rPr>
              <a:t>CUSUM (n=6)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'n=6'!$H$125</c:f>
              <c:strCache>
                <c:ptCount val="1"/>
                <c:pt idx="0">
                  <c:v>Ci+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'n=6'!$D$126:$D$145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'n=6'!$H$126:$H$145</c:f>
              <c:numCache>
                <c:formatCode>General</c:formatCode>
                <c:ptCount val="20"/>
                <c:pt idx="0">
                  <c:v>1.935936803619101E-2</c:v>
                </c:pt>
                <c:pt idx="1">
                  <c:v>5.3854027390488057E-3</c:v>
                </c:pt>
                <c:pt idx="2">
                  <c:v>0</c:v>
                </c:pt>
                <c:pt idx="3">
                  <c:v>6.9359368036191721E-2</c:v>
                </c:pt>
                <c:pt idx="4">
                  <c:v>0.12205206940571595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0.18602603470285886</c:v>
                </c:pt>
                <c:pt idx="9">
                  <c:v>0.17205206940571666</c:v>
                </c:pt>
                <c:pt idx="10">
                  <c:v>0.15807810410857445</c:v>
                </c:pt>
                <c:pt idx="11">
                  <c:v>1.0770805478099388E-2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8.602603470285744E-2</c:v>
                </c:pt>
                <c:pt idx="16">
                  <c:v>5.3854027390470294E-3</c:v>
                </c:pt>
                <c:pt idx="17">
                  <c:v>0</c:v>
                </c:pt>
                <c:pt idx="18">
                  <c:v>8.602603470285744E-2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E-4C67-AEB3-F9C6F071F2B8}"/>
            </c:ext>
          </c:extLst>
        </c:ser>
        <c:ser>
          <c:idx val="1"/>
          <c:order val="1"/>
          <c:tx>
            <c:strRef>
              <c:f>'n=6'!$I$125</c:f>
              <c:strCache>
                <c:ptCount val="1"/>
                <c:pt idx="0">
                  <c:v>Ci-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'n=6'!$D$126:$D$145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'n=6'!$I$126:$I$145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-5.5359368036190598E-2</c:v>
                </c:pt>
                <c:pt idx="6">
                  <c:v>-4.0000000000000924E-2</c:v>
                </c:pt>
                <c:pt idx="7">
                  <c:v>-0.13202603470285504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-5.3593680361898877E-3</c:v>
                </c:pt>
                <c:pt idx="12">
                  <c:v>0</c:v>
                </c:pt>
                <c:pt idx="13">
                  <c:v>0</c:v>
                </c:pt>
                <c:pt idx="14">
                  <c:v>-0.12202603470285703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-3.8692701369524879E-2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E-4C67-AEB3-F9C6F071F2B8}"/>
            </c:ext>
          </c:extLst>
        </c:ser>
        <c:ser>
          <c:idx val="2"/>
          <c:order val="2"/>
          <c:tx>
            <c:strRef>
              <c:f>'n=6'!$J$125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'n=6'!$D$126:$D$145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'n=6'!$J$126:$J$145</c:f>
              <c:numCache>
                <c:formatCode>General</c:formatCode>
                <c:ptCount val="20"/>
                <c:pt idx="0">
                  <c:v>0.67709162893474029</c:v>
                </c:pt>
                <c:pt idx="1">
                  <c:v>0.67709162893474029</c:v>
                </c:pt>
                <c:pt idx="2">
                  <c:v>0.67709162893474029</c:v>
                </c:pt>
                <c:pt idx="3">
                  <c:v>0.67709162893474029</c:v>
                </c:pt>
                <c:pt idx="4">
                  <c:v>0.67709162893474029</c:v>
                </c:pt>
                <c:pt idx="5">
                  <c:v>0.67709162893474029</c:v>
                </c:pt>
                <c:pt idx="6">
                  <c:v>0.67709162893474029</c:v>
                </c:pt>
                <c:pt idx="7">
                  <c:v>0.67709162893474029</c:v>
                </c:pt>
                <c:pt idx="8">
                  <c:v>0.67709162893474029</c:v>
                </c:pt>
                <c:pt idx="9">
                  <c:v>0.67709162893474029</c:v>
                </c:pt>
                <c:pt idx="10">
                  <c:v>0.67709162893474029</c:v>
                </c:pt>
                <c:pt idx="11">
                  <c:v>0.67709162893474029</c:v>
                </c:pt>
                <c:pt idx="12">
                  <c:v>0.67709162893474029</c:v>
                </c:pt>
                <c:pt idx="13">
                  <c:v>0.67709162893474029</c:v>
                </c:pt>
                <c:pt idx="14">
                  <c:v>0.67709162893474029</c:v>
                </c:pt>
                <c:pt idx="15">
                  <c:v>0.67709162893474029</c:v>
                </c:pt>
                <c:pt idx="16">
                  <c:v>0.67709162893474029</c:v>
                </c:pt>
                <c:pt idx="17">
                  <c:v>0.67709162893474029</c:v>
                </c:pt>
                <c:pt idx="18">
                  <c:v>0.67709162893474029</c:v>
                </c:pt>
                <c:pt idx="19">
                  <c:v>0.67709162893474029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E-4C67-AEB3-F9C6F071F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816143"/>
        <c:axId val="2123827183"/>
      </c:lineChart>
      <c:catAx>
        <c:axId val="212381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27183"/>
        <c:crosses val="autoZero"/>
        <c:auto val="1"/>
        <c:lblAlgn val="ctr"/>
        <c:lblOffset val="100"/>
        <c:noMultiLvlLbl val="0"/>
      </c:catAx>
      <c:valAx>
        <c:axId val="21238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1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24</xdr:row>
      <xdr:rowOff>57150</xdr:rowOff>
    </xdr:from>
    <xdr:to>
      <xdr:col>5</xdr:col>
      <xdr:colOff>274320</xdr:colOff>
      <xdr:row>35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519E0-E033-4A8C-B58B-7613B35F6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434340</xdr:colOff>
      <xdr:row>24</xdr:row>
      <xdr:rowOff>80010</xdr:rowOff>
    </xdr:from>
    <xdr:to>
      <xdr:col>13</xdr:col>
      <xdr:colOff>182880</xdr:colOff>
      <xdr:row>35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43E3A-6CE9-BB87-2B07-A8181D811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327660</xdr:colOff>
      <xdr:row>24</xdr:row>
      <xdr:rowOff>68580</xdr:rowOff>
    </xdr:from>
    <xdr:to>
      <xdr:col>19</xdr:col>
      <xdr:colOff>274320</xdr:colOff>
      <xdr:row>35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1F88E3-349E-3BDA-FDB5-C0A580978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36</xdr:row>
      <xdr:rowOff>68580</xdr:rowOff>
    </xdr:from>
    <xdr:to>
      <xdr:col>5</xdr:col>
      <xdr:colOff>335280</xdr:colOff>
      <xdr:row>47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DB40D1-A34B-E710-6724-489DD6FD1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463062</xdr:colOff>
      <xdr:row>36</xdr:row>
      <xdr:rowOff>34290</xdr:rowOff>
    </xdr:from>
    <xdr:to>
      <xdr:col>12</xdr:col>
      <xdr:colOff>477398</xdr:colOff>
      <xdr:row>47</xdr:row>
      <xdr:rowOff>146891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D7DDB3-3592-76BF-4323-3202F11A0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201706</xdr:colOff>
      <xdr:row>36</xdr:row>
      <xdr:rowOff>53789</xdr:rowOff>
    </xdr:from>
    <xdr:to>
      <xdr:col>19</xdr:col>
      <xdr:colOff>367553</xdr:colOff>
      <xdr:row>48</xdr:row>
      <xdr:rowOff>8965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864234-7121-CD87-CD49-CA254A29B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26892</xdr:rowOff>
    </xdr:from>
    <xdr:to>
      <xdr:col>6</xdr:col>
      <xdr:colOff>49305</xdr:colOff>
      <xdr:row>61</xdr:row>
      <xdr:rowOff>143435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3D5C55-7D58-4D99-D156-0F99E8398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125423</xdr:colOff>
      <xdr:row>48</xdr:row>
      <xdr:rowOff>123986</xdr:rowOff>
    </xdr:from>
    <xdr:to>
      <xdr:col>12</xdr:col>
      <xdr:colOff>517586</xdr:colOff>
      <xdr:row>62</xdr:row>
      <xdr:rowOff>14378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4EFE5E-FCDF-83C4-F210-7D7909519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205945</xdr:colOff>
      <xdr:row>125</xdr:row>
      <xdr:rowOff>111210</xdr:rowOff>
    </xdr:from>
    <xdr:to>
      <xdr:col>17</xdr:col>
      <xdr:colOff>525162</xdr:colOff>
      <xdr:row>140</xdr:row>
      <xdr:rowOff>74140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9FF573-3337-6A51-0193-DDD4815AD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EDA4-F988-4445-83BE-F756D5E764F7}">
  <dimension ref="A1:C121"/>
  <sheetViews>
    <sheetView workbookViewId="0">
      <selection activeCell="H9" sqref="H9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20.6640625" bestFit="1" customWidth="1"/>
  </cols>
  <sheetData>
    <row r="1" spans="1:3" x14ac:dyDescent="0.3">
      <c r="A1" s="2" t="s">
        <v>2</v>
      </c>
      <c r="B1" s="2" t="s">
        <v>1</v>
      </c>
      <c r="C1" s="2" t="s">
        <v>0</v>
      </c>
    </row>
    <row r="2" spans="1:3" x14ac:dyDescent="0.3">
      <c r="A2" s="1">
        <v>1</v>
      </c>
      <c r="B2" s="1">
        <v>1</v>
      </c>
      <c r="C2" s="1">
        <v>9.6</v>
      </c>
    </row>
    <row r="3" spans="1:3" x14ac:dyDescent="0.3">
      <c r="A3" s="1">
        <v>2</v>
      </c>
      <c r="B3" s="1">
        <v>1</v>
      </c>
      <c r="C3" s="1">
        <v>10.3</v>
      </c>
    </row>
    <row r="4" spans="1:3" x14ac:dyDescent="0.3">
      <c r="A4" s="1">
        <v>3</v>
      </c>
      <c r="B4" s="1">
        <v>1</v>
      </c>
      <c r="C4" s="1">
        <v>10.3</v>
      </c>
    </row>
    <row r="5" spans="1:3" x14ac:dyDescent="0.3">
      <c r="A5" s="1">
        <v>4</v>
      </c>
      <c r="B5" s="1">
        <v>1</v>
      </c>
      <c r="C5" s="1">
        <v>9.9</v>
      </c>
    </row>
    <row r="6" spans="1:3" x14ac:dyDescent="0.3">
      <c r="A6" s="1">
        <v>5</v>
      </c>
      <c r="B6" s="1">
        <v>1</v>
      </c>
      <c r="C6" s="1">
        <v>10.199999999999999</v>
      </c>
    </row>
    <row r="7" spans="1:3" x14ac:dyDescent="0.3">
      <c r="A7" s="1">
        <v>6</v>
      </c>
      <c r="B7" s="1">
        <v>1</v>
      </c>
      <c r="C7" s="1">
        <v>9.9</v>
      </c>
    </row>
    <row r="8" spans="1:3" x14ac:dyDescent="0.3">
      <c r="A8" s="1">
        <v>7</v>
      </c>
      <c r="B8" s="1">
        <v>2</v>
      </c>
      <c r="C8" s="1">
        <v>10.5</v>
      </c>
    </row>
    <row r="9" spans="1:3" x14ac:dyDescent="0.3">
      <c r="A9" s="1">
        <v>8</v>
      </c>
      <c r="B9" s="1">
        <v>2</v>
      </c>
      <c r="C9" s="1">
        <v>10.199999999999999</v>
      </c>
    </row>
    <row r="10" spans="1:3" x14ac:dyDescent="0.3">
      <c r="A10" s="1">
        <v>9</v>
      </c>
      <c r="B10" s="1">
        <v>2</v>
      </c>
      <c r="C10" s="1">
        <v>10.7</v>
      </c>
    </row>
    <row r="11" spans="1:3" x14ac:dyDescent="0.3">
      <c r="A11" s="1">
        <v>10</v>
      </c>
      <c r="B11" s="1">
        <v>2</v>
      </c>
      <c r="C11" s="1">
        <v>9.6</v>
      </c>
    </row>
    <row r="12" spans="1:3" x14ac:dyDescent="0.3">
      <c r="A12" s="1">
        <v>11</v>
      </c>
      <c r="B12" s="1">
        <v>2</v>
      </c>
      <c r="C12" s="1">
        <v>9.4</v>
      </c>
    </row>
    <row r="13" spans="1:3" x14ac:dyDescent="0.3">
      <c r="A13" s="1">
        <v>12</v>
      </c>
      <c r="B13" s="1">
        <v>2</v>
      </c>
      <c r="C13" s="1">
        <v>9.6</v>
      </c>
    </row>
    <row r="14" spans="1:3" x14ac:dyDescent="0.3">
      <c r="A14" s="1">
        <v>13</v>
      </c>
      <c r="B14" s="1">
        <v>3</v>
      </c>
      <c r="C14" s="1">
        <v>10.1</v>
      </c>
    </row>
    <row r="15" spans="1:3" x14ac:dyDescent="0.3">
      <c r="A15" s="1">
        <v>14</v>
      </c>
      <c r="B15" s="1">
        <v>3</v>
      </c>
      <c r="C15" s="1">
        <v>10.3</v>
      </c>
    </row>
    <row r="16" spans="1:3" x14ac:dyDescent="0.3">
      <c r="A16" s="1">
        <v>15</v>
      </c>
      <c r="B16" s="1">
        <v>3</v>
      </c>
      <c r="C16" s="1">
        <v>9.6999999999999993</v>
      </c>
    </row>
    <row r="17" spans="1:3" x14ac:dyDescent="0.3">
      <c r="A17" s="1">
        <v>16</v>
      </c>
      <c r="B17" s="1">
        <v>3</v>
      </c>
      <c r="C17" s="1">
        <v>9.6999999999999993</v>
      </c>
    </row>
    <row r="18" spans="1:3" x14ac:dyDescent="0.3">
      <c r="A18" s="1">
        <v>17</v>
      </c>
      <c r="B18" s="1">
        <v>3</v>
      </c>
      <c r="C18" s="1">
        <v>9.6999999999999993</v>
      </c>
    </row>
    <row r="19" spans="1:3" x14ac:dyDescent="0.3">
      <c r="A19" s="1">
        <v>18</v>
      </c>
      <c r="B19" s="1">
        <v>3</v>
      </c>
      <c r="C19" s="1">
        <v>10</v>
      </c>
    </row>
    <row r="20" spans="1:3" x14ac:dyDescent="0.3">
      <c r="A20" s="1">
        <v>19</v>
      </c>
      <c r="B20" s="1">
        <v>4</v>
      </c>
      <c r="C20" s="1">
        <v>10.1</v>
      </c>
    </row>
    <row r="21" spans="1:3" x14ac:dyDescent="0.3">
      <c r="A21" s="1">
        <v>20</v>
      </c>
      <c r="B21" s="1">
        <v>4</v>
      </c>
      <c r="C21" s="1">
        <v>10.1</v>
      </c>
    </row>
    <row r="22" spans="1:3" x14ac:dyDescent="0.3">
      <c r="A22" s="1">
        <v>21</v>
      </c>
      <c r="B22" s="1">
        <v>4</v>
      </c>
      <c r="C22" s="1">
        <v>10.1</v>
      </c>
    </row>
    <row r="23" spans="1:3" x14ac:dyDescent="0.3">
      <c r="A23" s="1">
        <v>22</v>
      </c>
      <c r="B23" s="1">
        <v>4</v>
      </c>
      <c r="C23" s="1">
        <v>10</v>
      </c>
    </row>
    <row r="24" spans="1:3" x14ac:dyDescent="0.3">
      <c r="A24" s="1">
        <v>23</v>
      </c>
      <c r="B24" s="1">
        <v>4</v>
      </c>
      <c r="C24" s="1">
        <v>10.199999999999999</v>
      </c>
    </row>
    <row r="25" spans="1:3" x14ac:dyDescent="0.3">
      <c r="A25" s="1">
        <v>24</v>
      </c>
      <c r="B25" s="1">
        <v>4</v>
      </c>
      <c r="C25" s="1">
        <v>10</v>
      </c>
    </row>
    <row r="26" spans="1:3" x14ac:dyDescent="0.3">
      <c r="A26" s="1">
        <v>25</v>
      </c>
      <c r="B26" s="1">
        <v>5</v>
      </c>
      <c r="C26" s="1">
        <v>9.9</v>
      </c>
    </row>
    <row r="27" spans="1:3" x14ac:dyDescent="0.3">
      <c r="A27" s="1">
        <v>26</v>
      </c>
      <c r="B27" s="1">
        <v>5</v>
      </c>
      <c r="C27" s="1">
        <v>9.6999999999999993</v>
      </c>
    </row>
    <row r="28" spans="1:3" x14ac:dyDescent="0.3">
      <c r="A28" s="1">
        <v>27</v>
      </c>
      <c r="B28" s="1">
        <v>5</v>
      </c>
      <c r="C28" s="1">
        <v>9.9</v>
      </c>
    </row>
    <row r="29" spans="1:3" x14ac:dyDescent="0.3">
      <c r="A29" s="1">
        <v>28</v>
      </c>
      <c r="B29" s="1">
        <v>5</v>
      </c>
      <c r="C29" s="1">
        <v>10.5</v>
      </c>
    </row>
    <row r="30" spans="1:3" x14ac:dyDescent="0.3">
      <c r="A30" s="1">
        <v>29</v>
      </c>
      <c r="B30" s="1">
        <v>5</v>
      </c>
      <c r="C30" s="1">
        <v>10.3</v>
      </c>
    </row>
    <row r="31" spans="1:3" x14ac:dyDescent="0.3">
      <c r="A31" s="1">
        <v>30</v>
      </c>
      <c r="B31" s="1">
        <v>5</v>
      </c>
      <c r="C31" s="1">
        <v>10.1</v>
      </c>
    </row>
    <row r="32" spans="1:3" x14ac:dyDescent="0.3">
      <c r="A32" s="1">
        <v>31</v>
      </c>
      <c r="B32" s="1">
        <v>6</v>
      </c>
      <c r="C32" s="1">
        <v>9.6999999999999993</v>
      </c>
    </row>
    <row r="33" spans="1:3" x14ac:dyDescent="0.3">
      <c r="A33" s="1">
        <v>32</v>
      </c>
      <c r="B33" s="1">
        <v>6</v>
      </c>
      <c r="C33" s="1">
        <v>10.3</v>
      </c>
    </row>
    <row r="34" spans="1:3" x14ac:dyDescent="0.3">
      <c r="A34" s="1">
        <v>33</v>
      </c>
      <c r="B34" s="1">
        <v>6</v>
      </c>
      <c r="C34" s="1">
        <v>9.9</v>
      </c>
    </row>
    <row r="35" spans="1:3" x14ac:dyDescent="0.3">
      <c r="A35" s="1">
        <v>34</v>
      </c>
      <c r="B35" s="1">
        <v>6</v>
      </c>
      <c r="C35" s="1">
        <v>10.1</v>
      </c>
    </row>
    <row r="36" spans="1:3" x14ac:dyDescent="0.3">
      <c r="A36" s="1">
        <v>35</v>
      </c>
      <c r="B36" s="1">
        <v>6</v>
      </c>
      <c r="C36" s="1">
        <v>10</v>
      </c>
    </row>
    <row r="37" spans="1:3" x14ac:dyDescent="0.3">
      <c r="A37" s="1">
        <v>36</v>
      </c>
      <c r="B37" s="1">
        <v>6</v>
      </c>
      <c r="C37" s="1">
        <v>8.9</v>
      </c>
    </row>
    <row r="38" spans="1:3" x14ac:dyDescent="0.3">
      <c r="A38" s="1">
        <v>37</v>
      </c>
      <c r="B38" s="1">
        <v>7</v>
      </c>
      <c r="C38" s="1">
        <v>10.5</v>
      </c>
    </row>
    <row r="39" spans="1:3" x14ac:dyDescent="0.3">
      <c r="A39" s="1">
        <v>38</v>
      </c>
      <c r="B39" s="1">
        <v>7</v>
      </c>
      <c r="C39" s="1">
        <v>9.4</v>
      </c>
    </row>
    <row r="40" spans="1:3" x14ac:dyDescent="0.3">
      <c r="A40" s="1">
        <v>39</v>
      </c>
      <c r="B40" s="1">
        <v>7</v>
      </c>
      <c r="C40" s="1">
        <v>9.76</v>
      </c>
    </row>
    <row r="41" spans="1:3" x14ac:dyDescent="0.3">
      <c r="A41" s="1">
        <v>40</v>
      </c>
      <c r="B41" s="1">
        <v>7</v>
      </c>
      <c r="C41" s="1">
        <v>9.8000000000000007</v>
      </c>
    </row>
    <row r="42" spans="1:3" x14ac:dyDescent="0.3">
      <c r="A42" s="1">
        <v>41</v>
      </c>
      <c r="B42" s="1">
        <v>7</v>
      </c>
      <c r="C42" s="1">
        <v>9.1</v>
      </c>
    </row>
    <row r="43" spans="1:3" x14ac:dyDescent="0.3">
      <c r="A43" s="1">
        <v>42</v>
      </c>
      <c r="B43" s="1">
        <v>7</v>
      </c>
      <c r="C43" s="1">
        <v>10.1</v>
      </c>
    </row>
    <row r="44" spans="1:3" x14ac:dyDescent="0.3">
      <c r="A44" s="1">
        <v>43</v>
      </c>
      <c r="B44" s="1">
        <v>8</v>
      </c>
      <c r="C44" s="1">
        <v>9.8000000000000007</v>
      </c>
    </row>
    <row r="45" spans="1:3" x14ac:dyDescent="0.3">
      <c r="A45" s="1">
        <v>44</v>
      </c>
      <c r="B45" s="1">
        <v>8</v>
      </c>
      <c r="C45" s="1">
        <v>9.9</v>
      </c>
    </row>
    <row r="46" spans="1:3" x14ac:dyDescent="0.3">
      <c r="A46" s="1">
        <v>45</v>
      </c>
      <c r="B46" s="1">
        <v>8</v>
      </c>
      <c r="C46" s="1">
        <v>9.6999999999999993</v>
      </c>
    </row>
    <row r="47" spans="1:3" x14ac:dyDescent="0.3">
      <c r="A47" s="1">
        <v>46</v>
      </c>
      <c r="B47" s="1">
        <v>8</v>
      </c>
      <c r="C47" s="1">
        <v>9.6999999999999993</v>
      </c>
    </row>
    <row r="48" spans="1:3" x14ac:dyDescent="0.3">
      <c r="A48" s="1">
        <v>47</v>
      </c>
      <c r="B48" s="1">
        <v>8</v>
      </c>
      <c r="C48" s="1">
        <v>9.3000000000000007</v>
      </c>
    </row>
    <row r="49" spans="1:3" x14ac:dyDescent="0.3">
      <c r="A49" s="1">
        <v>48</v>
      </c>
      <c r="B49" s="1">
        <v>8</v>
      </c>
      <c r="C49" s="1">
        <v>9.8000000000000007</v>
      </c>
    </row>
    <row r="50" spans="1:3" x14ac:dyDescent="0.3">
      <c r="A50" s="1">
        <v>49</v>
      </c>
      <c r="B50" s="1">
        <v>9</v>
      </c>
      <c r="C50" s="1">
        <v>9.6999999999999993</v>
      </c>
    </row>
    <row r="51" spans="1:3" x14ac:dyDescent="0.3">
      <c r="A51" s="1">
        <v>50</v>
      </c>
      <c r="B51" s="1">
        <v>9</v>
      </c>
      <c r="C51" s="1">
        <v>10.4</v>
      </c>
    </row>
    <row r="52" spans="1:3" x14ac:dyDescent="0.3">
      <c r="A52" s="1">
        <v>51</v>
      </c>
      <c r="B52" s="1">
        <v>9</v>
      </c>
      <c r="C52" s="1">
        <v>10.3</v>
      </c>
    </row>
    <row r="53" spans="1:3" x14ac:dyDescent="0.3">
      <c r="A53" s="1">
        <v>52</v>
      </c>
      <c r="B53" s="1">
        <v>9</v>
      </c>
      <c r="C53" s="1">
        <v>10.3</v>
      </c>
    </row>
    <row r="54" spans="1:3" x14ac:dyDescent="0.3">
      <c r="A54" s="1">
        <v>53</v>
      </c>
      <c r="B54" s="1">
        <v>9</v>
      </c>
      <c r="C54" s="1">
        <v>10</v>
      </c>
    </row>
    <row r="55" spans="1:3" x14ac:dyDescent="0.3">
      <c r="A55" s="1">
        <v>54</v>
      </c>
      <c r="B55" s="1">
        <v>9</v>
      </c>
      <c r="C55" s="1">
        <v>10.5</v>
      </c>
    </row>
    <row r="56" spans="1:3" x14ac:dyDescent="0.3">
      <c r="A56" s="1">
        <v>55</v>
      </c>
      <c r="B56" s="1">
        <v>10</v>
      </c>
      <c r="C56" s="1">
        <v>9.6999999999999993</v>
      </c>
    </row>
    <row r="57" spans="1:3" x14ac:dyDescent="0.3">
      <c r="A57" s="1">
        <v>56</v>
      </c>
      <c r="B57" s="1">
        <v>10</v>
      </c>
      <c r="C57" s="1">
        <v>9.8000000000000007</v>
      </c>
    </row>
    <row r="58" spans="1:3" x14ac:dyDescent="0.3">
      <c r="A58" s="1">
        <v>57</v>
      </c>
      <c r="B58" s="1">
        <v>10</v>
      </c>
      <c r="C58" s="1">
        <v>10.1</v>
      </c>
    </row>
    <row r="59" spans="1:3" x14ac:dyDescent="0.3">
      <c r="A59" s="1">
        <v>58</v>
      </c>
      <c r="B59" s="1">
        <v>10</v>
      </c>
      <c r="C59" s="1">
        <v>9.6</v>
      </c>
    </row>
    <row r="60" spans="1:3" x14ac:dyDescent="0.3">
      <c r="A60" s="1">
        <v>59</v>
      </c>
      <c r="B60" s="1">
        <v>10</v>
      </c>
      <c r="C60" s="1">
        <v>10.6</v>
      </c>
    </row>
    <row r="61" spans="1:3" x14ac:dyDescent="0.3">
      <c r="A61" s="1">
        <v>60</v>
      </c>
      <c r="B61" s="1">
        <v>10</v>
      </c>
      <c r="C61" s="1">
        <v>10.199999999999999</v>
      </c>
    </row>
    <row r="62" spans="1:3" x14ac:dyDescent="0.3">
      <c r="A62" s="1">
        <v>61</v>
      </c>
      <c r="B62" s="1">
        <v>11</v>
      </c>
      <c r="C62" s="1">
        <v>10</v>
      </c>
    </row>
    <row r="63" spans="1:3" x14ac:dyDescent="0.3">
      <c r="A63" s="1">
        <v>62</v>
      </c>
      <c r="B63" s="1">
        <v>11</v>
      </c>
      <c r="C63" s="1">
        <v>10.7</v>
      </c>
    </row>
    <row r="64" spans="1:3" x14ac:dyDescent="0.3">
      <c r="A64" s="1">
        <v>63</v>
      </c>
      <c r="B64" s="1">
        <v>11</v>
      </c>
      <c r="C64" s="1">
        <v>9.9</v>
      </c>
    </row>
    <row r="65" spans="1:3" x14ac:dyDescent="0.3">
      <c r="A65" s="1">
        <v>64</v>
      </c>
      <c r="B65" s="1">
        <v>11</v>
      </c>
      <c r="C65" s="1">
        <v>9.4</v>
      </c>
    </row>
    <row r="66" spans="1:3" x14ac:dyDescent="0.3">
      <c r="A66" s="1">
        <v>65</v>
      </c>
      <c r="B66" s="1">
        <v>11</v>
      </c>
      <c r="C66" s="1">
        <v>10.199999999999999</v>
      </c>
    </row>
    <row r="67" spans="1:3" x14ac:dyDescent="0.3">
      <c r="A67" s="1">
        <v>66</v>
      </c>
      <c r="B67" s="1">
        <v>11</v>
      </c>
      <c r="C67" s="1">
        <v>9.8000000000000007</v>
      </c>
    </row>
    <row r="68" spans="1:3" x14ac:dyDescent="0.3">
      <c r="A68" s="1">
        <v>67</v>
      </c>
      <c r="B68" s="1">
        <v>12</v>
      </c>
      <c r="C68" s="1">
        <v>9.6999999999999993</v>
      </c>
    </row>
    <row r="69" spans="1:3" x14ac:dyDescent="0.3">
      <c r="A69" s="1">
        <v>68</v>
      </c>
      <c r="B69" s="1">
        <v>12</v>
      </c>
      <c r="C69" s="1">
        <v>9.9</v>
      </c>
    </row>
    <row r="70" spans="1:3" x14ac:dyDescent="0.3">
      <c r="A70" s="1">
        <v>69</v>
      </c>
      <c r="B70" s="1">
        <v>12</v>
      </c>
      <c r="C70" s="1">
        <v>10</v>
      </c>
    </row>
    <row r="71" spans="1:3" x14ac:dyDescent="0.3">
      <c r="A71" s="1">
        <v>70</v>
      </c>
      <c r="B71" s="1">
        <v>12</v>
      </c>
      <c r="C71" s="1">
        <v>9.6</v>
      </c>
    </row>
    <row r="72" spans="1:3" x14ac:dyDescent="0.3">
      <c r="A72" s="1">
        <v>71</v>
      </c>
      <c r="B72" s="1">
        <v>12</v>
      </c>
      <c r="C72" s="1">
        <v>10.4</v>
      </c>
    </row>
    <row r="73" spans="1:3" x14ac:dyDescent="0.3">
      <c r="A73" s="1">
        <v>72</v>
      </c>
      <c r="B73" s="1">
        <v>12</v>
      </c>
      <c r="C73" s="1">
        <v>9.6</v>
      </c>
    </row>
    <row r="74" spans="1:3" x14ac:dyDescent="0.3">
      <c r="A74" s="1">
        <v>73</v>
      </c>
      <c r="B74" s="1">
        <v>13</v>
      </c>
      <c r="C74" s="1">
        <v>9.6</v>
      </c>
    </row>
    <row r="75" spans="1:3" x14ac:dyDescent="0.3">
      <c r="A75" s="1">
        <v>74</v>
      </c>
      <c r="B75" s="1">
        <v>13</v>
      </c>
      <c r="C75" s="1">
        <v>9.6</v>
      </c>
    </row>
    <row r="76" spans="1:3" x14ac:dyDescent="0.3">
      <c r="A76" s="1">
        <v>75</v>
      </c>
      <c r="B76" s="1">
        <v>13</v>
      </c>
      <c r="C76" s="1">
        <v>10.3</v>
      </c>
    </row>
    <row r="77" spans="1:3" x14ac:dyDescent="0.3">
      <c r="A77" s="1">
        <v>76</v>
      </c>
      <c r="B77" s="1">
        <v>13</v>
      </c>
      <c r="C77" s="1">
        <v>9.8000000000000007</v>
      </c>
    </row>
    <row r="78" spans="1:3" x14ac:dyDescent="0.3">
      <c r="A78" s="1">
        <v>77</v>
      </c>
      <c r="B78" s="1">
        <v>13</v>
      </c>
      <c r="C78" s="1">
        <v>9.8000000000000007</v>
      </c>
    </row>
    <row r="79" spans="1:3" x14ac:dyDescent="0.3">
      <c r="A79" s="1">
        <v>78</v>
      </c>
      <c r="B79" s="1">
        <v>13</v>
      </c>
      <c r="C79" s="1">
        <v>10.4</v>
      </c>
    </row>
    <row r="80" spans="1:3" x14ac:dyDescent="0.3">
      <c r="A80" s="1">
        <v>79</v>
      </c>
      <c r="B80" s="1">
        <v>14</v>
      </c>
      <c r="C80" s="1">
        <v>10.199999999999999</v>
      </c>
    </row>
    <row r="81" spans="1:3" x14ac:dyDescent="0.3">
      <c r="A81" s="1">
        <v>80</v>
      </c>
      <c r="B81" s="1">
        <v>14</v>
      </c>
      <c r="C81" s="1">
        <v>10.1</v>
      </c>
    </row>
    <row r="82" spans="1:3" x14ac:dyDescent="0.3">
      <c r="A82" s="1">
        <v>81</v>
      </c>
      <c r="B82" s="1">
        <v>14</v>
      </c>
      <c r="C82" s="1">
        <v>9</v>
      </c>
    </row>
    <row r="83" spans="1:3" x14ac:dyDescent="0.3">
      <c r="A83" s="1">
        <v>82</v>
      </c>
      <c r="B83" s="1">
        <v>14</v>
      </c>
      <c r="C83" s="1">
        <v>9.9</v>
      </c>
    </row>
    <row r="84" spans="1:3" x14ac:dyDescent="0.3">
      <c r="A84" s="1">
        <v>83</v>
      </c>
      <c r="B84" s="1">
        <v>14</v>
      </c>
      <c r="C84" s="1">
        <v>10.3</v>
      </c>
    </row>
    <row r="85" spans="1:3" x14ac:dyDescent="0.3">
      <c r="A85" s="1">
        <v>84</v>
      </c>
      <c r="B85" s="1">
        <v>14</v>
      </c>
      <c r="C85" s="1">
        <v>9.8000000000000007</v>
      </c>
    </row>
    <row r="86" spans="1:3" x14ac:dyDescent="0.3">
      <c r="A86" s="1">
        <v>85</v>
      </c>
      <c r="B86" s="1">
        <v>15</v>
      </c>
      <c r="C86" s="1">
        <v>10.199999999999999</v>
      </c>
    </row>
    <row r="87" spans="1:3" x14ac:dyDescent="0.3">
      <c r="A87" s="1">
        <v>86</v>
      </c>
      <c r="B87" s="1">
        <v>15</v>
      </c>
      <c r="C87" s="1">
        <v>10.1</v>
      </c>
    </row>
    <row r="88" spans="1:3" x14ac:dyDescent="0.3">
      <c r="A88" s="1">
        <v>87</v>
      </c>
      <c r="B88" s="1">
        <v>15</v>
      </c>
      <c r="C88" s="1">
        <v>9.4</v>
      </c>
    </row>
    <row r="89" spans="1:3" x14ac:dyDescent="0.3">
      <c r="A89" s="1">
        <v>88</v>
      </c>
      <c r="B89" s="1">
        <v>15</v>
      </c>
      <c r="C89" s="1">
        <v>9.5</v>
      </c>
    </row>
    <row r="90" spans="1:3" x14ac:dyDescent="0.3">
      <c r="A90" s="1">
        <v>89</v>
      </c>
      <c r="B90" s="1">
        <v>15</v>
      </c>
      <c r="C90" s="1">
        <v>9.5</v>
      </c>
    </row>
    <row r="91" spans="1:3" x14ac:dyDescent="0.3">
      <c r="A91" s="1">
        <v>90</v>
      </c>
      <c r="B91" s="1">
        <v>15</v>
      </c>
      <c r="C91" s="1">
        <v>9.8000000000000007</v>
      </c>
    </row>
    <row r="92" spans="1:3" x14ac:dyDescent="0.3">
      <c r="A92" s="1">
        <v>91</v>
      </c>
      <c r="B92" s="1">
        <v>16</v>
      </c>
      <c r="C92" s="1">
        <v>10.3</v>
      </c>
    </row>
    <row r="93" spans="1:3" x14ac:dyDescent="0.3">
      <c r="A93" s="1">
        <v>92</v>
      </c>
      <c r="B93" s="1">
        <v>16</v>
      </c>
      <c r="C93" s="1">
        <v>10.4</v>
      </c>
    </row>
    <row r="94" spans="1:3" x14ac:dyDescent="0.3">
      <c r="A94" s="1">
        <v>93</v>
      </c>
      <c r="B94" s="1">
        <v>16</v>
      </c>
      <c r="C94" s="1">
        <v>10.1</v>
      </c>
    </row>
    <row r="95" spans="1:3" x14ac:dyDescent="0.3">
      <c r="A95" s="1">
        <v>94</v>
      </c>
      <c r="B95" s="1">
        <v>16</v>
      </c>
      <c r="C95" s="1">
        <v>9.6999999999999993</v>
      </c>
    </row>
    <row r="96" spans="1:3" x14ac:dyDescent="0.3">
      <c r="A96" s="1">
        <v>95</v>
      </c>
      <c r="B96" s="1">
        <v>16</v>
      </c>
      <c r="C96" s="1">
        <v>9.9</v>
      </c>
    </row>
    <row r="97" spans="1:3" x14ac:dyDescent="0.3">
      <c r="A97" s="1">
        <v>96</v>
      </c>
      <c r="B97" s="1">
        <v>16</v>
      </c>
      <c r="C97" s="1">
        <v>10.199999999999999</v>
      </c>
    </row>
    <row r="98" spans="1:3" x14ac:dyDescent="0.3">
      <c r="A98" s="1">
        <v>97</v>
      </c>
      <c r="B98" s="1">
        <v>17</v>
      </c>
      <c r="C98" s="1">
        <v>10.1</v>
      </c>
    </row>
    <row r="99" spans="1:3" x14ac:dyDescent="0.3">
      <c r="A99" s="1">
        <v>98</v>
      </c>
      <c r="B99" s="1">
        <v>17</v>
      </c>
      <c r="C99" s="1">
        <v>9.1999999999999993</v>
      </c>
    </row>
    <row r="100" spans="1:3" x14ac:dyDescent="0.3">
      <c r="A100" s="1">
        <v>99</v>
      </c>
      <c r="B100" s="1">
        <v>17</v>
      </c>
      <c r="C100" s="1">
        <v>10.5</v>
      </c>
    </row>
    <row r="101" spans="1:3" x14ac:dyDescent="0.3">
      <c r="A101" s="1">
        <v>100</v>
      </c>
      <c r="B101" s="1">
        <v>17</v>
      </c>
      <c r="C101" s="1">
        <v>9.9</v>
      </c>
    </row>
    <row r="102" spans="1:3" x14ac:dyDescent="0.3">
      <c r="A102" s="1">
        <v>101</v>
      </c>
      <c r="B102" s="1">
        <v>17</v>
      </c>
      <c r="C102" s="1">
        <v>10</v>
      </c>
    </row>
    <row r="103" spans="1:3" x14ac:dyDescent="0.3">
      <c r="A103" s="1">
        <v>102</v>
      </c>
      <c r="B103" s="1">
        <v>17</v>
      </c>
      <c r="C103" s="1">
        <v>9.9</v>
      </c>
    </row>
    <row r="104" spans="1:3" x14ac:dyDescent="0.3">
      <c r="A104" s="1">
        <v>103</v>
      </c>
      <c r="B104" s="1">
        <v>18</v>
      </c>
      <c r="C104" s="1">
        <v>10.3</v>
      </c>
    </row>
    <row r="105" spans="1:3" x14ac:dyDescent="0.3">
      <c r="A105" s="1">
        <v>104</v>
      </c>
      <c r="B105" s="1">
        <v>18</v>
      </c>
      <c r="C105" s="1">
        <v>9.8000000000000007</v>
      </c>
    </row>
    <row r="106" spans="1:3" x14ac:dyDescent="0.3">
      <c r="A106" s="1">
        <v>105</v>
      </c>
      <c r="B106" s="1">
        <v>18</v>
      </c>
      <c r="C106" s="1">
        <v>9.6</v>
      </c>
    </row>
    <row r="107" spans="1:3" x14ac:dyDescent="0.3">
      <c r="A107" s="1">
        <v>106</v>
      </c>
      <c r="B107" s="1">
        <v>18</v>
      </c>
      <c r="C107" s="1">
        <v>10.1</v>
      </c>
    </row>
    <row r="108" spans="1:3" x14ac:dyDescent="0.3">
      <c r="A108" s="1">
        <v>107</v>
      </c>
      <c r="B108" s="1">
        <v>18</v>
      </c>
      <c r="C108" s="1">
        <v>9.6999999999999993</v>
      </c>
    </row>
    <row r="109" spans="1:3" x14ac:dyDescent="0.3">
      <c r="A109" s="1">
        <v>108</v>
      </c>
      <c r="B109" s="1">
        <v>18</v>
      </c>
      <c r="C109" s="1">
        <v>9.8000000000000007</v>
      </c>
    </row>
    <row r="110" spans="1:3" x14ac:dyDescent="0.3">
      <c r="A110" s="1">
        <v>109</v>
      </c>
      <c r="B110" s="1">
        <v>19</v>
      </c>
      <c r="C110" s="1">
        <v>9.8000000000000007</v>
      </c>
    </row>
    <row r="111" spans="1:3" x14ac:dyDescent="0.3">
      <c r="A111" s="1">
        <v>110</v>
      </c>
      <c r="B111" s="1">
        <v>19</v>
      </c>
      <c r="C111" s="1">
        <v>10</v>
      </c>
    </row>
    <row r="112" spans="1:3" x14ac:dyDescent="0.3">
      <c r="A112" s="1">
        <v>111</v>
      </c>
      <c r="B112" s="1">
        <v>19</v>
      </c>
      <c r="C112" s="1">
        <v>10.3</v>
      </c>
    </row>
    <row r="113" spans="1:3" x14ac:dyDescent="0.3">
      <c r="A113" s="1">
        <v>112</v>
      </c>
      <c r="B113" s="1">
        <v>19</v>
      </c>
      <c r="C113" s="1">
        <v>10.4</v>
      </c>
    </row>
    <row r="114" spans="1:3" x14ac:dyDescent="0.3">
      <c r="A114" s="1">
        <v>113</v>
      </c>
      <c r="B114" s="1">
        <v>19</v>
      </c>
      <c r="C114" s="1">
        <v>10.4</v>
      </c>
    </row>
    <row r="115" spans="1:3" x14ac:dyDescent="0.3">
      <c r="A115" s="1">
        <v>114</v>
      </c>
      <c r="B115" s="1">
        <v>19</v>
      </c>
      <c r="C115" s="1">
        <v>9.6999999999999993</v>
      </c>
    </row>
    <row r="116" spans="1:3" x14ac:dyDescent="0.3">
      <c r="A116" s="1">
        <v>115</v>
      </c>
      <c r="B116" s="1">
        <v>20</v>
      </c>
      <c r="C116" s="1">
        <v>10.1</v>
      </c>
    </row>
    <row r="117" spans="1:3" x14ac:dyDescent="0.3">
      <c r="A117" s="1">
        <v>116</v>
      </c>
      <c r="B117" s="1">
        <v>20</v>
      </c>
      <c r="C117" s="1">
        <v>9.6999999999999993</v>
      </c>
    </row>
    <row r="118" spans="1:3" x14ac:dyDescent="0.3">
      <c r="A118" s="1">
        <v>117</v>
      </c>
      <c r="B118" s="1">
        <v>20</v>
      </c>
      <c r="C118" s="1">
        <v>10</v>
      </c>
    </row>
    <row r="119" spans="1:3" x14ac:dyDescent="0.3">
      <c r="A119" s="1">
        <v>118</v>
      </c>
      <c r="B119" s="1">
        <v>20</v>
      </c>
      <c r="C119" s="1">
        <v>9.8000000000000007</v>
      </c>
    </row>
    <row r="120" spans="1:3" x14ac:dyDescent="0.3">
      <c r="A120" s="1">
        <v>119</v>
      </c>
      <c r="B120" s="1">
        <v>20</v>
      </c>
      <c r="C120" s="1">
        <v>9.8000000000000007</v>
      </c>
    </row>
    <row r="121" spans="1:3" x14ac:dyDescent="0.3">
      <c r="A121" s="1">
        <v>120</v>
      </c>
      <c r="B121" s="1">
        <v>20</v>
      </c>
      <c r="C121" s="1">
        <v>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70E9-2280-4AAF-80E3-2279BE746159}">
  <dimension ref="A1:Y24"/>
  <sheetViews>
    <sheetView topLeftCell="A24" zoomScale="62" zoomScaleNormal="84" workbookViewId="0">
      <selection activeCell="P52" sqref="P52"/>
    </sheetView>
  </sheetViews>
  <sheetFormatPr defaultRowHeight="14.4" x14ac:dyDescent="0.3"/>
  <cols>
    <col min="1" max="2" width="9" bestFit="1" customWidth="1"/>
    <col min="3" max="3" width="12.5546875" bestFit="1" customWidth="1"/>
    <col min="4" max="4" width="12.109375" bestFit="1" customWidth="1"/>
    <col min="5" max="6" width="9" bestFit="1" customWidth="1"/>
    <col min="7" max="7" width="12.109375" bestFit="1" customWidth="1"/>
    <col min="8" max="8" width="9" bestFit="1" customWidth="1"/>
    <col min="9" max="9" width="12.109375" bestFit="1" customWidth="1"/>
    <col min="10" max="10" width="12.6640625" bestFit="1" customWidth="1"/>
    <col min="11" max="11" width="9" bestFit="1" customWidth="1"/>
  </cols>
  <sheetData>
    <row r="1" spans="1:25" x14ac:dyDescent="0.3">
      <c r="A1" t="s">
        <v>5</v>
      </c>
      <c r="B1" t="s">
        <v>6</v>
      </c>
      <c r="C1" s="3" t="s">
        <v>3</v>
      </c>
      <c r="D1" s="3" t="s">
        <v>4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t="s">
        <v>8</v>
      </c>
      <c r="K1" t="s">
        <v>7</v>
      </c>
      <c r="L1" t="s">
        <v>9</v>
      </c>
      <c r="M1" t="s">
        <v>10</v>
      </c>
      <c r="N1" t="s">
        <v>11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 spans="1:25" x14ac:dyDescent="0.3">
      <c r="A2">
        <v>1</v>
      </c>
      <c r="B2" s="1">
        <v>9.6</v>
      </c>
      <c r="C2" s="1">
        <f>$B$23</f>
        <v>9.995000000000001</v>
      </c>
      <c r="D2" s="1">
        <f>$B$24</f>
        <v>0.28741131355236316</v>
      </c>
      <c r="E2" s="1">
        <v>1</v>
      </c>
      <c r="F2" s="1">
        <f>0.5*E2</f>
        <v>0.5</v>
      </c>
      <c r="G2" s="1">
        <f>F2*D2</f>
        <v>0.14370565677618158</v>
      </c>
      <c r="H2" s="1">
        <v>4.7699999999999996</v>
      </c>
      <c r="I2" s="1">
        <f>$H$2*D2</f>
        <v>1.3709519656447722</v>
      </c>
      <c r="J2">
        <f>B2-$C$2</f>
        <v>-0.39500000000000135</v>
      </c>
      <c r="K2">
        <f>MAX(0,($B2-$C$2))</f>
        <v>0</v>
      </c>
      <c r="L2">
        <f>MAX(0,($C$2-$B2))</f>
        <v>0.39500000000000135</v>
      </c>
      <c r="M2">
        <f>MAX(0,($B2-$C$2))</f>
        <v>0</v>
      </c>
      <c r="N2">
        <f>MAX(0,($C$2-$B2))</f>
        <v>0.39500000000000135</v>
      </c>
      <c r="O2">
        <f>MAX(0,($B2-$C$2-$G$2))</f>
        <v>0</v>
      </c>
      <c r="P2">
        <f>-MAX(0,($C$2-$B2-$G$2))</f>
        <v>-0.25129434322381977</v>
      </c>
      <c r="Q2">
        <f>IF(O2&gt;0,1,0)</f>
        <v>0</v>
      </c>
      <c r="R2">
        <f>IF(O2&gt;I2,$C$2+(O2/Q2)+F2,0)</f>
        <v>0</v>
      </c>
      <c r="S2">
        <f>MAX(0,($B2-$C$2-$G$2+I2/2))</f>
        <v>0.1467703260462031</v>
      </c>
      <c r="T2">
        <f>(B2-$C$2)/$D$2</f>
        <v>-1.374336991532648</v>
      </c>
      <c r="U2">
        <f>MAX(0,T2-$F$2)</f>
        <v>0</v>
      </c>
      <c r="V2">
        <f>-MAX(0,-T2-$F$2)</f>
        <v>-0.87433699153264799</v>
      </c>
      <c r="W2">
        <f>(SQRT(ABS(T2))-0.822)/0.349</f>
        <v>1.0037856679303421</v>
      </c>
      <c r="X2">
        <f>MAX(0,W2-$F$2)</f>
        <v>0.50378566793034207</v>
      </c>
      <c r="Y2">
        <f>-MAX(0,-W2-$F$2)</f>
        <v>0</v>
      </c>
    </row>
    <row r="3" spans="1:25" x14ac:dyDescent="0.3">
      <c r="A3">
        <v>2</v>
      </c>
      <c r="B3" s="1">
        <v>10.5</v>
      </c>
      <c r="C3" s="1">
        <f t="shared" ref="C3:C21" si="0">$B$23</f>
        <v>9.995000000000001</v>
      </c>
      <c r="D3" s="1">
        <f t="shared" ref="D3:D21" si="1">$B$24</f>
        <v>0.28741131355236316</v>
      </c>
      <c r="E3" s="1"/>
      <c r="F3" s="1"/>
      <c r="G3" s="1"/>
      <c r="H3" s="1">
        <v>4.7699999999999996</v>
      </c>
      <c r="I3" s="1">
        <f t="shared" ref="I3:I21" si="2">$H$2*D3</f>
        <v>1.3709519656447722</v>
      </c>
      <c r="J3">
        <f>B3-$C$2+J2</f>
        <v>0.10999999999999766</v>
      </c>
      <c r="K3">
        <f>MAX(0,($B3-$C$2))+K2</f>
        <v>0.50499999999999901</v>
      </c>
      <c r="L3">
        <f>MAX(0,($C$2-$B3))+L2</f>
        <v>0.39500000000000135</v>
      </c>
      <c r="M3">
        <f>MAX(0,($B3-$C$2+M2))</f>
        <v>0.50499999999999901</v>
      </c>
      <c r="N3">
        <f>MAX(0,($C$2-$B3+N2))</f>
        <v>0</v>
      </c>
      <c r="O3">
        <f>MAX(0,($B3-$C$2-$G$2+O2))</f>
        <v>0.36129434322381743</v>
      </c>
      <c r="P3">
        <f>-MAX(0,($C$2-$B3-$G$2+P2))</f>
        <v>0</v>
      </c>
      <c r="Q3">
        <f>IF(O3&gt;0,1+Q2,0)</f>
        <v>1</v>
      </c>
      <c r="R3">
        <f t="shared" ref="R3:R21" si="3">IF(O3&gt;I3,$C$2+(O3/Q3)+F3,0)</f>
        <v>0</v>
      </c>
      <c r="S3">
        <f>MAX(0,($B3-$C$2-$G$2+S2))</f>
        <v>0.50806466927002059</v>
      </c>
      <c r="T3">
        <f t="shared" ref="T3:T21" si="4">(B3-$C$2)/$D$2</f>
        <v>1.7570637486683125</v>
      </c>
      <c r="U3">
        <f>MAX(0,T3-$F$2+U2)</f>
        <v>1.2570637486683125</v>
      </c>
      <c r="V3">
        <f>-MAX(0,-T3-$F$2+V2)</f>
        <v>0</v>
      </c>
      <c r="W3">
        <f t="shared" ref="W3:W21" si="5">(SQRT(ABS(T3))-0.822)/0.349</f>
        <v>1.4428160826323566</v>
      </c>
      <c r="X3">
        <f>MAX(0,W3-$F$2+X2)</f>
        <v>1.4466017505626987</v>
      </c>
      <c r="Y3">
        <f>-MAX(0,-W3-$F$2+Y2)</f>
        <v>0</v>
      </c>
    </row>
    <row r="4" spans="1:25" x14ac:dyDescent="0.3">
      <c r="A4">
        <v>3</v>
      </c>
      <c r="B4" s="1">
        <v>10.1</v>
      </c>
      <c r="C4" s="1">
        <f t="shared" si="0"/>
        <v>9.995000000000001</v>
      </c>
      <c r="D4" s="1">
        <f t="shared" si="1"/>
        <v>0.28741131355236316</v>
      </c>
      <c r="E4" s="1"/>
      <c r="F4" s="1"/>
      <c r="G4" s="1"/>
      <c r="H4" s="1">
        <v>4.7699999999999996</v>
      </c>
      <c r="I4" s="1">
        <f t="shared" si="2"/>
        <v>1.3709519656447722</v>
      </c>
      <c r="J4">
        <f t="shared" ref="J4:J21" si="6">B4-$C$2+J3</f>
        <v>0.21499999999999631</v>
      </c>
      <c r="K4">
        <f t="shared" ref="K4:K21" si="7">MAX(0,($B4-$C$2))+K3</f>
        <v>0.60999999999999766</v>
      </c>
      <c r="L4">
        <f t="shared" ref="L4:L21" si="8">MAX(0,($C$2-$B4))+L3</f>
        <v>0.39500000000000135</v>
      </c>
      <c r="M4">
        <f t="shared" ref="M4:M21" si="9">MAX(0,($B4-$C$2+M3))</f>
        <v>0.60999999999999766</v>
      </c>
      <c r="N4">
        <f t="shared" ref="N4:N21" si="10">MAX(0,($C$2-$B4+N3))</f>
        <v>0</v>
      </c>
      <c r="O4">
        <f t="shared" ref="O4:O21" si="11">MAX(0,($B4-$C$2-$G$2+O3))</f>
        <v>0.3225886864476345</v>
      </c>
      <c r="P4">
        <f t="shared" ref="P4:P21" si="12">-MAX(0,($C$2-$B4-$G$2+P3))</f>
        <v>0</v>
      </c>
      <c r="Q4">
        <f t="shared" ref="Q4:Q21" si="13">IF(O4&gt;0,1+Q3,0)</f>
        <v>2</v>
      </c>
      <c r="R4">
        <f t="shared" si="3"/>
        <v>0</v>
      </c>
      <c r="S4">
        <f t="shared" ref="S4:S21" si="14">MAX(0,($B4-$C$2-$G$2+S3))</f>
        <v>0.46935901249383766</v>
      </c>
      <c r="T4">
        <f t="shared" si="4"/>
        <v>0.36533008635677389</v>
      </c>
      <c r="U4">
        <f t="shared" ref="U4:U21" si="15">MAX(0,T4-$F$2+U3)</f>
        <v>1.1223938350250864</v>
      </c>
      <c r="V4">
        <f t="shared" ref="V4:V21" si="16">-MAX(0,-T4-$F$2+V3)</f>
        <v>0</v>
      </c>
      <c r="W4">
        <f t="shared" si="5"/>
        <v>-0.62342287003549657</v>
      </c>
      <c r="X4">
        <f t="shared" ref="X4:X21" si="17">MAX(0,W4-$F$2+X3)</f>
        <v>0.32317888052720201</v>
      </c>
      <c r="Y4">
        <f t="shared" ref="Y4:Y21" si="18">-MAX(0,-W4-$F$2+Y3)</f>
        <v>-0.12342287003549657</v>
      </c>
    </row>
    <row r="5" spans="1:25" x14ac:dyDescent="0.3">
      <c r="A5">
        <v>4</v>
      </c>
      <c r="B5" s="1">
        <v>10.1</v>
      </c>
      <c r="C5" s="1">
        <f t="shared" si="0"/>
        <v>9.995000000000001</v>
      </c>
      <c r="D5" s="1">
        <f t="shared" si="1"/>
        <v>0.28741131355236316</v>
      </c>
      <c r="E5" s="1"/>
      <c r="F5" s="1"/>
      <c r="G5" s="1"/>
      <c r="H5" s="1">
        <v>4.7699999999999996</v>
      </c>
      <c r="I5" s="1">
        <f t="shared" si="2"/>
        <v>1.3709519656447722</v>
      </c>
      <c r="J5">
        <f t="shared" si="6"/>
        <v>0.31999999999999496</v>
      </c>
      <c r="K5">
        <f t="shared" si="7"/>
        <v>0.71499999999999631</v>
      </c>
      <c r="L5">
        <f t="shared" si="8"/>
        <v>0.39500000000000135</v>
      </c>
      <c r="M5">
        <f t="shared" si="9"/>
        <v>0.71499999999999631</v>
      </c>
      <c r="N5">
        <f t="shared" si="10"/>
        <v>0</v>
      </c>
      <c r="O5">
        <f t="shared" si="11"/>
        <v>0.28388302967145157</v>
      </c>
      <c r="P5">
        <f t="shared" si="12"/>
        <v>0</v>
      </c>
      <c r="Q5">
        <f t="shared" si="13"/>
        <v>3</v>
      </c>
      <c r="R5">
        <f t="shared" si="3"/>
        <v>0</v>
      </c>
      <c r="S5">
        <f t="shared" si="14"/>
        <v>0.43065335571765473</v>
      </c>
      <c r="T5">
        <f t="shared" si="4"/>
        <v>0.36533008635677389</v>
      </c>
      <c r="U5">
        <f t="shared" si="15"/>
        <v>0.98772392138186027</v>
      </c>
      <c r="V5">
        <f t="shared" si="16"/>
        <v>0</v>
      </c>
      <c r="W5">
        <f t="shared" si="5"/>
        <v>-0.62342287003549657</v>
      </c>
      <c r="X5">
        <f t="shared" si="17"/>
        <v>0</v>
      </c>
      <c r="Y5">
        <f t="shared" si="18"/>
        <v>0</v>
      </c>
    </row>
    <row r="6" spans="1:25" x14ac:dyDescent="0.3">
      <c r="A6">
        <v>5</v>
      </c>
      <c r="B6" s="1">
        <v>9.9</v>
      </c>
      <c r="C6" s="1">
        <f t="shared" si="0"/>
        <v>9.995000000000001</v>
      </c>
      <c r="D6" s="1">
        <f t="shared" si="1"/>
        <v>0.28741131355236316</v>
      </c>
      <c r="E6" s="1"/>
      <c r="F6" s="1"/>
      <c r="G6" s="1"/>
      <c r="H6" s="1">
        <v>4.7699999999999996</v>
      </c>
      <c r="I6" s="1">
        <f t="shared" si="2"/>
        <v>1.3709519656447722</v>
      </c>
      <c r="J6">
        <f t="shared" si="6"/>
        <v>0.22499999999999432</v>
      </c>
      <c r="K6">
        <f t="shared" si="7"/>
        <v>0.71499999999999631</v>
      </c>
      <c r="L6">
        <f t="shared" si="8"/>
        <v>0.49000000000000199</v>
      </c>
      <c r="M6">
        <f t="shared" si="9"/>
        <v>0.61999999999999567</v>
      </c>
      <c r="N6">
        <f t="shared" si="10"/>
        <v>9.5000000000000639E-2</v>
      </c>
      <c r="O6">
        <f t="shared" si="11"/>
        <v>4.5177372895269352E-2</v>
      </c>
      <c r="P6">
        <f t="shared" si="12"/>
        <v>0</v>
      </c>
      <c r="Q6">
        <f t="shared" si="13"/>
        <v>4</v>
      </c>
      <c r="R6">
        <f t="shared" si="3"/>
        <v>0</v>
      </c>
      <c r="S6">
        <f t="shared" si="14"/>
        <v>0.19194769894147251</v>
      </c>
      <c r="T6">
        <f t="shared" si="4"/>
        <v>-0.33053674479899237</v>
      </c>
      <c r="U6">
        <f t="shared" si="15"/>
        <v>0.15718717658286785</v>
      </c>
      <c r="V6">
        <f t="shared" si="16"/>
        <v>0</v>
      </c>
      <c r="W6">
        <f t="shared" si="5"/>
        <v>-0.70795630021522893</v>
      </c>
      <c r="X6">
        <f t="shared" si="17"/>
        <v>0</v>
      </c>
      <c r="Y6">
        <f t="shared" si="18"/>
        <v>-0.20795630021522893</v>
      </c>
    </row>
    <row r="7" spans="1:25" x14ac:dyDescent="0.3">
      <c r="A7">
        <v>6</v>
      </c>
      <c r="B7" s="1">
        <v>9.6999999999999993</v>
      </c>
      <c r="C7" s="1">
        <f t="shared" si="0"/>
        <v>9.995000000000001</v>
      </c>
      <c r="D7" s="1">
        <f t="shared" si="1"/>
        <v>0.28741131355236316</v>
      </c>
      <c r="E7" s="1"/>
      <c r="F7" s="1"/>
      <c r="G7" s="1"/>
      <c r="H7" s="1">
        <v>4.7699999999999996</v>
      </c>
      <c r="I7" s="1">
        <f t="shared" si="2"/>
        <v>1.3709519656447722</v>
      </c>
      <c r="J7">
        <f t="shared" si="6"/>
        <v>-7.000000000000739E-2</v>
      </c>
      <c r="K7">
        <f t="shared" si="7"/>
        <v>0.71499999999999631</v>
      </c>
      <c r="L7">
        <f t="shared" si="8"/>
        <v>0.78500000000000369</v>
      </c>
      <c r="M7">
        <f t="shared" si="9"/>
        <v>0.32499999999999396</v>
      </c>
      <c r="N7">
        <f t="shared" si="10"/>
        <v>0.39000000000000234</v>
      </c>
      <c r="O7">
        <f t="shared" si="11"/>
        <v>0</v>
      </c>
      <c r="P7">
        <f t="shared" si="12"/>
        <v>-0.15129434322382013</v>
      </c>
      <c r="Q7">
        <f t="shared" si="13"/>
        <v>0</v>
      </c>
      <c r="R7">
        <f t="shared" si="3"/>
        <v>0</v>
      </c>
      <c r="S7">
        <f t="shared" si="14"/>
        <v>0</v>
      </c>
      <c r="T7">
        <f t="shared" si="4"/>
        <v>-1.0264035759547647</v>
      </c>
      <c r="U7">
        <f t="shared" si="15"/>
        <v>0</v>
      </c>
      <c r="V7">
        <f t="shared" si="16"/>
        <v>-0.52640357595476472</v>
      </c>
      <c r="W7">
        <f t="shared" si="5"/>
        <v>0.54760967388228066</v>
      </c>
      <c r="X7">
        <f t="shared" si="17"/>
        <v>4.7609673882280656E-2</v>
      </c>
      <c r="Y7">
        <f t="shared" si="18"/>
        <v>0</v>
      </c>
    </row>
    <row r="8" spans="1:25" x14ac:dyDescent="0.3">
      <c r="A8">
        <v>7</v>
      </c>
      <c r="B8" s="1">
        <v>10.5</v>
      </c>
      <c r="C8" s="1">
        <f t="shared" si="0"/>
        <v>9.995000000000001</v>
      </c>
      <c r="D8" s="1">
        <f t="shared" si="1"/>
        <v>0.28741131355236316</v>
      </c>
      <c r="E8" s="1"/>
      <c r="F8" s="1"/>
      <c r="G8" s="1"/>
      <c r="H8" s="1">
        <v>4.7699999999999996</v>
      </c>
      <c r="I8" s="1">
        <f t="shared" si="2"/>
        <v>1.3709519656447722</v>
      </c>
      <c r="J8">
        <f t="shared" si="6"/>
        <v>0.43499999999999162</v>
      </c>
      <c r="K8">
        <f t="shared" si="7"/>
        <v>1.2199999999999953</v>
      </c>
      <c r="L8">
        <f t="shared" si="8"/>
        <v>0.78500000000000369</v>
      </c>
      <c r="M8">
        <f t="shared" si="9"/>
        <v>0.82999999999999297</v>
      </c>
      <c r="N8">
        <f t="shared" si="10"/>
        <v>0</v>
      </c>
      <c r="O8">
        <f t="shared" si="11"/>
        <v>0.36129434322381743</v>
      </c>
      <c r="P8">
        <f t="shared" si="12"/>
        <v>0</v>
      </c>
      <c r="Q8">
        <f t="shared" si="13"/>
        <v>1</v>
      </c>
      <c r="R8">
        <f t="shared" si="3"/>
        <v>0</v>
      </c>
      <c r="S8">
        <f t="shared" si="14"/>
        <v>0.36129434322381743</v>
      </c>
      <c r="T8">
        <f t="shared" si="4"/>
        <v>1.7570637486683125</v>
      </c>
      <c r="U8">
        <f t="shared" si="15"/>
        <v>1.2570637486683125</v>
      </c>
      <c r="V8">
        <f t="shared" si="16"/>
        <v>0</v>
      </c>
      <c r="W8">
        <f t="shared" si="5"/>
        <v>1.4428160826323566</v>
      </c>
      <c r="X8">
        <f t="shared" si="17"/>
        <v>0.99042575651463727</v>
      </c>
      <c r="Y8">
        <f t="shared" si="18"/>
        <v>0</v>
      </c>
    </row>
    <row r="9" spans="1:25" x14ac:dyDescent="0.3">
      <c r="A9">
        <v>8</v>
      </c>
      <c r="B9" s="1">
        <v>9.8000000000000007</v>
      </c>
      <c r="C9" s="1">
        <f t="shared" si="0"/>
        <v>9.995000000000001</v>
      </c>
      <c r="D9" s="1">
        <f t="shared" si="1"/>
        <v>0.28741131355236316</v>
      </c>
      <c r="E9" s="1"/>
      <c r="F9" s="1"/>
      <c r="G9" s="1"/>
      <c r="H9" s="1">
        <v>4.7699999999999996</v>
      </c>
      <c r="I9" s="1">
        <f t="shared" si="2"/>
        <v>1.3709519656447722</v>
      </c>
      <c r="J9">
        <f t="shared" si="6"/>
        <v>0.23999999999999133</v>
      </c>
      <c r="K9">
        <f t="shared" si="7"/>
        <v>1.2199999999999953</v>
      </c>
      <c r="L9">
        <f t="shared" si="8"/>
        <v>0.98000000000000398</v>
      </c>
      <c r="M9">
        <f t="shared" si="9"/>
        <v>0.63499999999999268</v>
      </c>
      <c r="N9">
        <f t="shared" si="10"/>
        <v>0.19500000000000028</v>
      </c>
      <c r="O9">
        <f t="shared" si="11"/>
        <v>2.2588686447635564E-2</v>
      </c>
      <c r="P9">
        <f t="shared" si="12"/>
        <v>-5.1294343223818706E-2</v>
      </c>
      <c r="Q9">
        <f t="shared" si="13"/>
        <v>2</v>
      </c>
      <c r="R9">
        <f t="shared" si="3"/>
        <v>0</v>
      </c>
      <c r="S9">
        <f t="shared" si="14"/>
        <v>2.2588686447635564E-2</v>
      </c>
      <c r="T9">
        <f t="shared" si="4"/>
        <v>-0.67847016037687546</v>
      </c>
      <c r="U9">
        <f t="shared" si="15"/>
        <v>7.8593588291437033E-2</v>
      </c>
      <c r="V9">
        <f t="shared" si="16"/>
        <v>-0.17847016037687546</v>
      </c>
      <c r="W9">
        <f t="shared" si="5"/>
        <v>4.8510065663834624E-3</v>
      </c>
      <c r="X9">
        <f t="shared" si="17"/>
        <v>0.49527676308102075</v>
      </c>
      <c r="Y9">
        <f t="shared" si="18"/>
        <v>0</v>
      </c>
    </row>
    <row r="10" spans="1:25" x14ac:dyDescent="0.3">
      <c r="A10">
        <v>9</v>
      </c>
      <c r="B10" s="1">
        <v>9.6999999999999993</v>
      </c>
      <c r="C10" s="1">
        <f t="shared" si="0"/>
        <v>9.995000000000001</v>
      </c>
      <c r="D10" s="1">
        <f t="shared" si="1"/>
        <v>0.28741131355236316</v>
      </c>
      <c r="E10" s="1"/>
      <c r="F10" s="1"/>
      <c r="G10" s="1"/>
      <c r="H10" s="1">
        <v>4.7699999999999996</v>
      </c>
      <c r="I10" s="1">
        <f t="shared" si="2"/>
        <v>1.3709519656447722</v>
      </c>
      <c r="J10">
        <f t="shared" si="6"/>
        <v>-5.5000000000010374E-2</v>
      </c>
      <c r="K10">
        <f t="shared" si="7"/>
        <v>1.2199999999999953</v>
      </c>
      <c r="L10">
        <f t="shared" si="8"/>
        <v>1.2750000000000057</v>
      </c>
      <c r="M10">
        <f t="shared" si="9"/>
        <v>0.33999999999999098</v>
      </c>
      <c r="N10">
        <f t="shared" si="10"/>
        <v>0.49000000000000199</v>
      </c>
      <c r="O10">
        <f t="shared" si="11"/>
        <v>0</v>
      </c>
      <c r="P10">
        <f t="shared" si="12"/>
        <v>-0.10000000000000142</v>
      </c>
      <c r="Q10">
        <f t="shared" si="13"/>
        <v>0</v>
      </c>
      <c r="R10">
        <f t="shared" si="3"/>
        <v>0</v>
      </c>
      <c r="S10">
        <f t="shared" si="14"/>
        <v>0</v>
      </c>
      <c r="T10">
        <f t="shared" si="4"/>
        <v>-1.0264035759547647</v>
      </c>
      <c r="U10">
        <f t="shared" si="15"/>
        <v>0</v>
      </c>
      <c r="V10">
        <f t="shared" si="16"/>
        <v>-0.34793341557788926</v>
      </c>
      <c r="W10">
        <f t="shared" si="5"/>
        <v>0.54760967388228066</v>
      </c>
      <c r="X10">
        <f t="shared" si="17"/>
        <v>0.54288643696330141</v>
      </c>
      <c r="Y10">
        <f t="shared" si="18"/>
        <v>0</v>
      </c>
    </row>
    <row r="11" spans="1:25" x14ac:dyDescent="0.3">
      <c r="A11">
        <v>10</v>
      </c>
      <c r="B11" s="1">
        <v>9.6999999999999993</v>
      </c>
      <c r="C11" s="1">
        <f t="shared" si="0"/>
        <v>9.995000000000001</v>
      </c>
      <c r="D11" s="1">
        <f t="shared" si="1"/>
        <v>0.28741131355236316</v>
      </c>
      <c r="E11" s="1"/>
      <c r="F11" s="1"/>
      <c r="G11" s="1"/>
      <c r="H11" s="1">
        <v>4.7699999999999996</v>
      </c>
      <c r="I11" s="1">
        <f t="shared" si="2"/>
        <v>1.3709519656447722</v>
      </c>
      <c r="J11">
        <f t="shared" si="6"/>
        <v>-0.35000000000001208</v>
      </c>
      <c r="K11">
        <f t="shared" si="7"/>
        <v>1.2199999999999953</v>
      </c>
      <c r="L11">
        <f t="shared" si="8"/>
        <v>1.5700000000000074</v>
      </c>
      <c r="M11">
        <f t="shared" si="9"/>
        <v>4.4999999999989271E-2</v>
      </c>
      <c r="N11">
        <f t="shared" si="10"/>
        <v>0.78500000000000369</v>
      </c>
      <c r="O11">
        <f t="shared" si="11"/>
        <v>0</v>
      </c>
      <c r="P11">
        <f t="shared" si="12"/>
        <v>-5.1294343223818706E-2</v>
      </c>
      <c r="Q11">
        <f t="shared" si="13"/>
        <v>0</v>
      </c>
      <c r="R11">
        <f t="shared" si="3"/>
        <v>0</v>
      </c>
      <c r="S11">
        <f t="shared" si="14"/>
        <v>0</v>
      </c>
      <c r="T11">
        <f t="shared" si="4"/>
        <v>-1.0264035759547647</v>
      </c>
      <c r="U11">
        <f t="shared" si="15"/>
        <v>0</v>
      </c>
      <c r="V11">
        <f t="shared" si="16"/>
        <v>-0.17847016037687546</v>
      </c>
      <c r="W11">
        <f t="shared" si="5"/>
        <v>0.54760967388228066</v>
      </c>
      <c r="X11">
        <f t="shared" si="17"/>
        <v>0.59049611084558207</v>
      </c>
      <c r="Y11">
        <f t="shared" si="18"/>
        <v>0</v>
      </c>
    </row>
    <row r="12" spans="1:25" x14ac:dyDescent="0.3">
      <c r="A12">
        <v>11</v>
      </c>
      <c r="B12" s="1">
        <v>10</v>
      </c>
      <c r="C12" s="1">
        <f t="shared" si="0"/>
        <v>9.995000000000001</v>
      </c>
      <c r="D12" s="1">
        <f t="shared" si="1"/>
        <v>0.28741131355236316</v>
      </c>
      <c r="E12" s="1"/>
      <c r="F12" s="1"/>
      <c r="G12" s="1"/>
      <c r="H12" s="1">
        <v>4.7699999999999996</v>
      </c>
      <c r="I12" s="1">
        <f t="shared" si="2"/>
        <v>1.3709519656447722</v>
      </c>
      <c r="J12">
        <f t="shared" si="6"/>
        <v>-0.34500000000001307</v>
      </c>
      <c r="K12">
        <f t="shared" si="7"/>
        <v>1.2249999999999943</v>
      </c>
      <c r="L12">
        <f t="shared" si="8"/>
        <v>1.5700000000000074</v>
      </c>
      <c r="M12">
        <f t="shared" si="9"/>
        <v>4.9999999999988276E-2</v>
      </c>
      <c r="N12">
        <f t="shared" si="10"/>
        <v>0.78000000000000469</v>
      </c>
      <c r="O12">
        <f t="shared" si="11"/>
        <v>0</v>
      </c>
      <c r="P12">
        <f t="shared" si="12"/>
        <v>0</v>
      </c>
      <c r="Q12">
        <f t="shared" si="13"/>
        <v>0</v>
      </c>
      <c r="R12">
        <f t="shared" si="3"/>
        <v>0</v>
      </c>
      <c r="S12">
        <f t="shared" si="14"/>
        <v>0</v>
      </c>
      <c r="T12">
        <f t="shared" si="4"/>
        <v>1.7396670778890757E-2</v>
      </c>
      <c r="U12">
        <f t="shared" si="15"/>
        <v>0</v>
      </c>
      <c r="V12">
        <f t="shared" si="16"/>
        <v>0</v>
      </c>
      <c r="W12">
        <f t="shared" si="5"/>
        <v>-1.9773740985702213</v>
      </c>
      <c r="X12">
        <f t="shared" si="17"/>
        <v>0</v>
      </c>
      <c r="Y12">
        <f t="shared" si="18"/>
        <v>-1.4773740985702213</v>
      </c>
    </row>
    <row r="13" spans="1:25" x14ac:dyDescent="0.3">
      <c r="A13">
        <v>12</v>
      </c>
      <c r="B13" s="1">
        <v>9.6999999999999993</v>
      </c>
      <c r="C13" s="1">
        <f t="shared" si="0"/>
        <v>9.995000000000001</v>
      </c>
      <c r="D13" s="1">
        <f t="shared" si="1"/>
        <v>0.28741131355236316</v>
      </c>
      <c r="E13" s="1"/>
      <c r="F13" s="1"/>
      <c r="G13" s="1"/>
      <c r="H13" s="1">
        <v>4.7699999999999996</v>
      </c>
      <c r="I13" s="1">
        <f t="shared" si="2"/>
        <v>1.3709519656447722</v>
      </c>
      <c r="J13">
        <f t="shared" si="6"/>
        <v>-0.64000000000001478</v>
      </c>
      <c r="K13">
        <f t="shared" si="7"/>
        <v>1.2249999999999943</v>
      </c>
      <c r="L13">
        <f t="shared" si="8"/>
        <v>1.8650000000000091</v>
      </c>
      <c r="M13">
        <f t="shared" si="9"/>
        <v>0</v>
      </c>
      <c r="N13">
        <f t="shared" si="10"/>
        <v>1.0750000000000064</v>
      </c>
      <c r="O13">
        <f t="shared" si="11"/>
        <v>0</v>
      </c>
      <c r="P13">
        <f t="shared" si="12"/>
        <v>-0.15129434322382013</v>
      </c>
      <c r="Q13">
        <f t="shared" si="13"/>
        <v>0</v>
      </c>
      <c r="R13">
        <f t="shared" si="3"/>
        <v>0</v>
      </c>
      <c r="S13">
        <f t="shared" si="14"/>
        <v>0</v>
      </c>
      <c r="T13">
        <f t="shared" si="4"/>
        <v>-1.0264035759547647</v>
      </c>
      <c r="U13">
        <f t="shared" si="15"/>
        <v>0</v>
      </c>
      <c r="V13">
        <f t="shared" si="16"/>
        <v>-0.52640357595476472</v>
      </c>
      <c r="W13">
        <f t="shared" si="5"/>
        <v>0.54760967388228066</v>
      </c>
      <c r="X13">
        <f t="shared" si="17"/>
        <v>4.7609673882280656E-2</v>
      </c>
      <c r="Y13">
        <f t="shared" si="18"/>
        <v>0</v>
      </c>
    </row>
    <row r="14" spans="1:25" x14ac:dyDescent="0.3">
      <c r="A14">
        <v>13</v>
      </c>
      <c r="B14" s="1">
        <v>9.6</v>
      </c>
      <c r="C14" s="1">
        <f t="shared" si="0"/>
        <v>9.995000000000001</v>
      </c>
      <c r="D14" s="1">
        <f t="shared" si="1"/>
        <v>0.28741131355236316</v>
      </c>
      <c r="E14" s="1"/>
      <c r="F14" s="1"/>
      <c r="G14" s="1"/>
      <c r="H14" s="1">
        <v>4.7699999999999996</v>
      </c>
      <c r="I14" s="1">
        <f t="shared" si="2"/>
        <v>1.3709519656447722</v>
      </c>
      <c r="J14">
        <f t="shared" si="6"/>
        <v>-1.0350000000000161</v>
      </c>
      <c r="K14">
        <f t="shared" si="7"/>
        <v>1.2249999999999943</v>
      </c>
      <c r="L14">
        <f t="shared" si="8"/>
        <v>2.2600000000000104</v>
      </c>
      <c r="M14">
        <f t="shared" si="9"/>
        <v>0</v>
      </c>
      <c r="N14">
        <f t="shared" si="10"/>
        <v>1.4700000000000077</v>
      </c>
      <c r="O14">
        <f t="shared" si="11"/>
        <v>0</v>
      </c>
      <c r="P14">
        <f t="shared" si="12"/>
        <v>-9.9999999999999645E-2</v>
      </c>
      <c r="Q14">
        <f t="shared" si="13"/>
        <v>0</v>
      </c>
      <c r="R14">
        <f t="shared" si="3"/>
        <v>0</v>
      </c>
      <c r="S14">
        <f t="shared" si="14"/>
        <v>0</v>
      </c>
      <c r="T14">
        <f t="shared" si="4"/>
        <v>-1.374336991532648</v>
      </c>
      <c r="U14">
        <f t="shared" si="15"/>
        <v>0</v>
      </c>
      <c r="V14">
        <f t="shared" si="16"/>
        <v>-0.34793341557788326</v>
      </c>
      <c r="W14">
        <f t="shared" si="5"/>
        <v>1.0037856679303421</v>
      </c>
      <c r="X14">
        <f t="shared" si="17"/>
        <v>0.55139534181262273</v>
      </c>
      <c r="Y14">
        <f t="shared" si="18"/>
        <v>0</v>
      </c>
    </row>
    <row r="15" spans="1:25" x14ac:dyDescent="0.3">
      <c r="A15">
        <v>14</v>
      </c>
      <c r="B15" s="1">
        <v>10.199999999999999</v>
      </c>
      <c r="C15" s="1">
        <f t="shared" si="0"/>
        <v>9.995000000000001</v>
      </c>
      <c r="D15" s="1">
        <f t="shared" si="1"/>
        <v>0.28741131355236316</v>
      </c>
      <c r="E15" s="1"/>
      <c r="F15" s="1"/>
      <c r="G15" s="1"/>
      <c r="H15" s="1">
        <v>4.7699999999999996</v>
      </c>
      <c r="I15" s="1">
        <f t="shared" si="2"/>
        <v>1.3709519656447722</v>
      </c>
      <c r="J15">
        <f t="shared" si="6"/>
        <v>-0.83000000000001783</v>
      </c>
      <c r="K15">
        <f t="shared" si="7"/>
        <v>1.4299999999999926</v>
      </c>
      <c r="L15">
        <f t="shared" si="8"/>
        <v>2.2600000000000104</v>
      </c>
      <c r="M15">
        <f t="shared" si="9"/>
        <v>0.20499999999999829</v>
      </c>
      <c r="N15">
        <f t="shared" si="10"/>
        <v>1.2650000000000095</v>
      </c>
      <c r="O15">
        <f t="shared" si="11"/>
        <v>6.1294343223816716E-2</v>
      </c>
      <c r="P15">
        <f t="shared" si="12"/>
        <v>0</v>
      </c>
      <c r="Q15">
        <f t="shared" si="13"/>
        <v>1</v>
      </c>
      <c r="R15">
        <f t="shared" si="3"/>
        <v>0</v>
      </c>
      <c r="S15">
        <f t="shared" si="14"/>
        <v>6.1294343223816716E-2</v>
      </c>
      <c r="T15">
        <f t="shared" si="4"/>
        <v>0.71326350193465704</v>
      </c>
      <c r="U15">
        <f t="shared" si="15"/>
        <v>0.21326350193465704</v>
      </c>
      <c r="V15">
        <f t="shared" si="16"/>
        <v>0</v>
      </c>
      <c r="W15">
        <f t="shared" si="5"/>
        <v>6.4611143918306913E-2</v>
      </c>
      <c r="X15">
        <f t="shared" si="17"/>
        <v>0.11600648573092964</v>
      </c>
      <c r="Y15">
        <f t="shared" si="18"/>
        <v>0</v>
      </c>
    </row>
    <row r="16" spans="1:25" x14ac:dyDescent="0.3">
      <c r="A16">
        <v>15</v>
      </c>
      <c r="B16" s="1">
        <v>10.199999999999999</v>
      </c>
      <c r="C16" s="1">
        <f t="shared" si="0"/>
        <v>9.995000000000001</v>
      </c>
      <c r="D16" s="1">
        <f t="shared" si="1"/>
        <v>0.28741131355236316</v>
      </c>
      <c r="E16" s="1"/>
      <c r="F16" s="1"/>
      <c r="G16" s="1"/>
      <c r="H16" s="1">
        <v>4.7699999999999996</v>
      </c>
      <c r="I16" s="1">
        <f t="shared" si="2"/>
        <v>1.3709519656447722</v>
      </c>
      <c r="J16">
        <f t="shared" si="6"/>
        <v>-0.62500000000001954</v>
      </c>
      <c r="K16">
        <f t="shared" si="7"/>
        <v>1.6349999999999909</v>
      </c>
      <c r="L16">
        <f t="shared" si="8"/>
        <v>2.2600000000000104</v>
      </c>
      <c r="M16">
        <f t="shared" si="9"/>
        <v>0.40999999999999659</v>
      </c>
      <c r="N16">
        <f t="shared" si="10"/>
        <v>1.0600000000000112</v>
      </c>
      <c r="O16">
        <f t="shared" si="11"/>
        <v>0.12258868644763343</v>
      </c>
      <c r="P16">
        <f t="shared" si="12"/>
        <v>0</v>
      </c>
      <c r="Q16">
        <f t="shared" si="13"/>
        <v>2</v>
      </c>
      <c r="R16">
        <f t="shared" si="3"/>
        <v>0</v>
      </c>
      <c r="S16">
        <f t="shared" si="14"/>
        <v>0.12258868644763343</v>
      </c>
      <c r="T16">
        <f t="shared" si="4"/>
        <v>0.71326350193465704</v>
      </c>
      <c r="U16">
        <f t="shared" si="15"/>
        <v>0.42652700386931408</v>
      </c>
      <c r="V16">
        <f t="shared" si="16"/>
        <v>0</v>
      </c>
      <c r="W16">
        <f t="shared" si="5"/>
        <v>6.4611143918306913E-2</v>
      </c>
      <c r="X16">
        <f t="shared" si="17"/>
        <v>0</v>
      </c>
      <c r="Y16">
        <f t="shared" si="18"/>
        <v>0</v>
      </c>
    </row>
    <row r="17" spans="1:25" x14ac:dyDescent="0.3">
      <c r="A17">
        <v>16</v>
      </c>
      <c r="B17" s="1">
        <v>10.3</v>
      </c>
      <c r="C17" s="1">
        <f t="shared" si="0"/>
        <v>9.995000000000001</v>
      </c>
      <c r="D17" s="1">
        <f t="shared" si="1"/>
        <v>0.28741131355236316</v>
      </c>
      <c r="E17" s="1"/>
      <c r="F17" s="1"/>
      <c r="G17" s="1"/>
      <c r="H17" s="1">
        <v>4.7699999999999996</v>
      </c>
      <c r="I17" s="1">
        <f t="shared" si="2"/>
        <v>1.3709519656447722</v>
      </c>
      <c r="J17">
        <f t="shared" si="6"/>
        <v>-0.32000000000001982</v>
      </c>
      <c r="K17">
        <f t="shared" si="7"/>
        <v>1.9399999999999906</v>
      </c>
      <c r="L17">
        <f t="shared" si="8"/>
        <v>2.2600000000000104</v>
      </c>
      <c r="M17">
        <f t="shared" si="9"/>
        <v>0.71499999999999631</v>
      </c>
      <c r="N17">
        <f t="shared" si="10"/>
        <v>0.75500000000001144</v>
      </c>
      <c r="O17">
        <f t="shared" si="11"/>
        <v>0.28388302967145157</v>
      </c>
      <c r="P17">
        <f t="shared" si="12"/>
        <v>0</v>
      </c>
      <c r="Q17">
        <f t="shared" si="13"/>
        <v>3</v>
      </c>
      <c r="R17">
        <f t="shared" si="3"/>
        <v>0</v>
      </c>
      <c r="S17">
        <f t="shared" si="14"/>
        <v>0.28388302967145157</v>
      </c>
      <c r="T17">
        <f t="shared" si="4"/>
        <v>1.0611969175125464</v>
      </c>
      <c r="U17">
        <f t="shared" si="15"/>
        <v>0.98772392138186049</v>
      </c>
      <c r="V17">
        <f t="shared" si="16"/>
        <v>0</v>
      </c>
      <c r="W17">
        <f t="shared" si="5"/>
        <v>0.59640150324176855</v>
      </c>
      <c r="X17">
        <f t="shared" si="17"/>
        <v>9.6401503241768549E-2</v>
      </c>
      <c r="Y17">
        <f t="shared" si="18"/>
        <v>0</v>
      </c>
    </row>
    <row r="18" spans="1:25" x14ac:dyDescent="0.3">
      <c r="A18">
        <v>17</v>
      </c>
      <c r="B18" s="1">
        <v>10.1</v>
      </c>
      <c r="C18" s="1">
        <f t="shared" si="0"/>
        <v>9.995000000000001</v>
      </c>
      <c r="D18" s="1">
        <f t="shared" si="1"/>
        <v>0.28741131355236316</v>
      </c>
      <c r="E18" s="1"/>
      <c r="F18" s="1"/>
      <c r="G18" s="1"/>
      <c r="H18" s="1">
        <v>4.7699999999999996</v>
      </c>
      <c r="I18" s="1">
        <f t="shared" si="2"/>
        <v>1.3709519656447722</v>
      </c>
      <c r="J18">
        <f t="shared" si="6"/>
        <v>-0.21500000000002117</v>
      </c>
      <c r="K18">
        <f t="shared" si="7"/>
        <v>2.0449999999999893</v>
      </c>
      <c r="L18">
        <f t="shared" si="8"/>
        <v>2.2600000000000104</v>
      </c>
      <c r="M18">
        <f t="shared" si="9"/>
        <v>0.81999999999999496</v>
      </c>
      <c r="N18">
        <f t="shared" si="10"/>
        <v>0.65000000000001279</v>
      </c>
      <c r="O18">
        <f t="shared" si="11"/>
        <v>0.24517737289526864</v>
      </c>
      <c r="P18">
        <f t="shared" si="12"/>
        <v>0</v>
      </c>
      <c r="Q18">
        <f t="shared" si="13"/>
        <v>4</v>
      </c>
      <c r="R18">
        <f t="shared" si="3"/>
        <v>0</v>
      </c>
      <c r="S18">
        <f t="shared" si="14"/>
        <v>0.24517737289526864</v>
      </c>
      <c r="T18">
        <f t="shared" si="4"/>
        <v>0.36533008635677389</v>
      </c>
      <c r="U18">
        <f t="shared" si="15"/>
        <v>0.85305400773863438</v>
      </c>
      <c r="V18">
        <f t="shared" si="16"/>
        <v>0</v>
      </c>
      <c r="W18">
        <f t="shared" si="5"/>
        <v>-0.62342287003549657</v>
      </c>
      <c r="X18">
        <f t="shared" si="17"/>
        <v>0</v>
      </c>
      <c r="Y18">
        <f t="shared" si="18"/>
        <v>-0.12342287003549657</v>
      </c>
    </row>
    <row r="19" spans="1:25" x14ac:dyDescent="0.3">
      <c r="A19">
        <v>18</v>
      </c>
      <c r="B19" s="1">
        <v>10.3</v>
      </c>
      <c r="C19" s="1">
        <f t="shared" si="0"/>
        <v>9.995000000000001</v>
      </c>
      <c r="D19" s="1">
        <f t="shared" si="1"/>
        <v>0.28741131355236316</v>
      </c>
      <c r="E19" s="1"/>
      <c r="F19" s="1"/>
      <c r="G19" s="1"/>
      <c r="H19" s="1">
        <v>4.7699999999999996</v>
      </c>
      <c r="I19" s="1">
        <f t="shared" si="2"/>
        <v>1.3709519656447722</v>
      </c>
      <c r="J19">
        <f t="shared" si="6"/>
        <v>8.9999999999978542E-2</v>
      </c>
      <c r="K19">
        <f t="shared" si="7"/>
        <v>2.349999999999989</v>
      </c>
      <c r="L19">
        <f t="shared" si="8"/>
        <v>2.2600000000000104</v>
      </c>
      <c r="M19">
        <f t="shared" si="9"/>
        <v>1.1249999999999947</v>
      </c>
      <c r="N19">
        <f t="shared" si="10"/>
        <v>0.34500000000001307</v>
      </c>
      <c r="O19">
        <f t="shared" si="11"/>
        <v>0.40647171611908678</v>
      </c>
      <c r="P19">
        <f t="shared" si="12"/>
        <v>0</v>
      </c>
      <c r="Q19">
        <f t="shared" si="13"/>
        <v>5</v>
      </c>
      <c r="R19">
        <f t="shared" si="3"/>
        <v>0</v>
      </c>
      <c r="S19">
        <f t="shared" si="14"/>
        <v>0.40647171611908678</v>
      </c>
      <c r="T19">
        <f t="shared" si="4"/>
        <v>1.0611969175125464</v>
      </c>
      <c r="U19">
        <f t="shared" si="15"/>
        <v>1.4142509252511808</v>
      </c>
      <c r="V19">
        <f t="shared" si="16"/>
        <v>0</v>
      </c>
      <c r="W19">
        <f t="shared" si="5"/>
        <v>0.59640150324176855</v>
      </c>
      <c r="X19">
        <f t="shared" si="17"/>
        <v>9.6401503241768549E-2</v>
      </c>
      <c r="Y19">
        <f t="shared" si="18"/>
        <v>0</v>
      </c>
    </row>
    <row r="20" spans="1:25" x14ac:dyDescent="0.3">
      <c r="A20">
        <v>19</v>
      </c>
      <c r="B20" s="1">
        <v>9.8000000000000007</v>
      </c>
      <c r="C20" s="1">
        <f t="shared" si="0"/>
        <v>9.995000000000001</v>
      </c>
      <c r="D20" s="1">
        <f t="shared" si="1"/>
        <v>0.28741131355236316</v>
      </c>
      <c r="E20" s="1"/>
      <c r="F20" s="1"/>
      <c r="G20" s="1"/>
      <c r="H20" s="1">
        <v>4.7699999999999996</v>
      </c>
      <c r="I20" s="1">
        <f t="shared" si="2"/>
        <v>1.3709519656447722</v>
      </c>
      <c r="J20">
        <f t="shared" si="6"/>
        <v>-0.10500000000002174</v>
      </c>
      <c r="K20">
        <f t="shared" si="7"/>
        <v>2.349999999999989</v>
      </c>
      <c r="L20">
        <f t="shared" si="8"/>
        <v>2.4550000000000107</v>
      </c>
      <c r="M20">
        <f t="shared" si="9"/>
        <v>0.92999999999999439</v>
      </c>
      <c r="N20">
        <f t="shared" si="10"/>
        <v>0.54000000000001336</v>
      </c>
      <c r="O20">
        <f t="shared" si="11"/>
        <v>6.7766059342904916E-2</v>
      </c>
      <c r="P20">
        <f t="shared" si="12"/>
        <v>-5.1294343223818706E-2</v>
      </c>
      <c r="Q20">
        <f t="shared" si="13"/>
        <v>6</v>
      </c>
      <c r="R20">
        <f t="shared" si="3"/>
        <v>0</v>
      </c>
      <c r="S20">
        <f t="shared" si="14"/>
        <v>6.7766059342904916E-2</v>
      </c>
      <c r="T20">
        <f t="shared" si="4"/>
        <v>-0.67847016037687546</v>
      </c>
      <c r="U20">
        <f t="shared" si="15"/>
        <v>0.23578076487430533</v>
      </c>
      <c r="V20">
        <f t="shared" si="16"/>
        <v>-0.17847016037687546</v>
      </c>
      <c r="W20">
        <f t="shared" si="5"/>
        <v>4.8510065663834624E-3</v>
      </c>
      <c r="X20">
        <f t="shared" si="17"/>
        <v>0</v>
      </c>
      <c r="Y20">
        <f t="shared" si="18"/>
        <v>0</v>
      </c>
    </row>
    <row r="21" spans="1:25" x14ac:dyDescent="0.3">
      <c r="A21">
        <v>20</v>
      </c>
      <c r="B21" s="1">
        <v>10.1</v>
      </c>
      <c r="C21" s="1">
        <f t="shared" si="0"/>
        <v>9.995000000000001</v>
      </c>
      <c r="D21" s="1">
        <f t="shared" si="1"/>
        <v>0.28741131355236316</v>
      </c>
      <c r="E21" s="1"/>
      <c r="F21" s="1"/>
      <c r="G21" s="1"/>
      <c r="H21" s="1">
        <v>4.7699999999999996</v>
      </c>
      <c r="I21" s="1">
        <f t="shared" si="2"/>
        <v>1.3709519656447722</v>
      </c>
      <c r="J21">
        <f t="shared" si="6"/>
        <v>-2.3092638912203256E-14</v>
      </c>
      <c r="K21">
        <f t="shared" si="7"/>
        <v>2.4549999999999876</v>
      </c>
      <c r="L21">
        <f t="shared" si="8"/>
        <v>2.4550000000000107</v>
      </c>
      <c r="M21">
        <f t="shared" si="9"/>
        <v>1.034999999999993</v>
      </c>
      <c r="N21">
        <f t="shared" si="10"/>
        <v>0.43500000000001471</v>
      </c>
      <c r="O21">
        <f t="shared" si="11"/>
        <v>2.9060402566721988E-2</v>
      </c>
      <c r="P21">
        <f t="shared" si="12"/>
        <v>0</v>
      </c>
      <c r="Q21">
        <f t="shared" si="13"/>
        <v>7</v>
      </c>
      <c r="R21">
        <f t="shared" si="3"/>
        <v>0</v>
      </c>
      <c r="S21">
        <f t="shared" si="14"/>
        <v>2.9060402566721988E-2</v>
      </c>
      <c r="T21">
        <f t="shared" si="4"/>
        <v>0.36533008635677389</v>
      </c>
      <c r="U21">
        <f t="shared" si="15"/>
        <v>0.10111085123107921</v>
      </c>
      <c r="V21">
        <f t="shared" si="16"/>
        <v>0</v>
      </c>
      <c r="W21">
        <f t="shared" si="5"/>
        <v>-0.62342287003549657</v>
      </c>
      <c r="X21">
        <f t="shared" si="17"/>
        <v>0</v>
      </c>
      <c r="Y21">
        <f t="shared" si="18"/>
        <v>-0.12342287003549657</v>
      </c>
    </row>
    <row r="22" spans="1:25" x14ac:dyDescent="0.3">
      <c r="B22" s="1"/>
      <c r="C22" s="1"/>
      <c r="D22" s="1"/>
      <c r="E22" s="1"/>
      <c r="F22" s="1"/>
      <c r="G22" s="1"/>
      <c r="H22" s="1"/>
      <c r="I22" s="1"/>
    </row>
    <row r="23" spans="1:25" x14ac:dyDescent="0.3">
      <c r="A23" t="s">
        <v>3</v>
      </c>
      <c r="B23">
        <f>AVERAGE(B2:B21)</f>
        <v>9.995000000000001</v>
      </c>
    </row>
    <row r="24" spans="1:25" x14ac:dyDescent="0.3">
      <c r="A24" t="s">
        <v>4</v>
      </c>
      <c r="B24">
        <f>_xlfn.STDEV.S(B2:B21)</f>
        <v>0.28741131355236316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49A0-F90E-47AA-A546-5466EA1B3167}">
  <dimension ref="A1:AD145"/>
  <sheetViews>
    <sheetView tabSelected="1" topLeftCell="E120" zoomScale="74" zoomScaleNormal="100" workbookViewId="0">
      <selection activeCell="S146" sqref="S146"/>
    </sheetView>
  </sheetViews>
  <sheetFormatPr defaultRowHeight="14.4" x14ac:dyDescent="0.3"/>
  <cols>
    <col min="3" max="4" width="9" bestFit="1" customWidth="1"/>
    <col min="5" max="5" width="12.88671875" bestFit="1" customWidth="1"/>
    <col min="6" max="7" width="12" customWidth="1"/>
    <col min="8" max="10" width="9" bestFit="1" customWidth="1"/>
    <col min="13" max="13" width="9" bestFit="1" customWidth="1"/>
    <col min="14" max="14" width="9.21875" bestFit="1" customWidth="1"/>
    <col min="15" max="15" width="14" bestFit="1" customWidth="1"/>
    <col min="16" max="18" width="9" bestFit="1" customWidth="1"/>
  </cols>
  <sheetData>
    <row r="1" spans="1:30" x14ac:dyDescent="0.3">
      <c r="A1" t="s">
        <v>28</v>
      </c>
      <c r="B1" t="s">
        <v>5</v>
      </c>
      <c r="C1" t="s">
        <v>6</v>
      </c>
      <c r="D1" t="s">
        <v>29</v>
      </c>
      <c r="E1" t="s">
        <v>30</v>
      </c>
      <c r="F1" t="s">
        <v>33</v>
      </c>
      <c r="G1" t="s">
        <v>36</v>
      </c>
      <c r="H1" s="3" t="s">
        <v>3</v>
      </c>
      <c r="I1" s="3" t="s">
        <v>4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t="s">
        <v>8</v>
      </c>
      <c r="P1" t="s">
        <v>7</v>
      </c>
      <c r="Q1" t="s">
        <v>9</v>
      </c>
      <c r="R1" t="s">
        <v>10</v>
      </c>
      <c r="S1" t="s">
        <v>11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34</v>
      </c>
      <c r="AA1" t="s">
        <v>35</v>
      </c>
      <c r="AB1" t="s">
        <v>25</v>
      </c>
      <c r="AC1" t="s">
        <v>26</v>
      </c>
      <c r="AD1" t="s">
        <v>27</v>
      </c>
    </row>
    <row r="2" spans="1:30" x14ac:dyDescent="0.3">
      <c r="A2" s="1">
        <v>1</v>
      </c>
      <c r="B2" s="1">
        <v>1</v>
      </c>
      <c r="C2" s="1">
        <v>9.6</v>
      </c>
      <c r="D2" s="1">
        <f>C2</f>
        <v>9.6</v>
      </c>
      <c r="E2" s="1">
        <f t="shared" ref="E2:E65" si="0">IF(B2=B3,0,D2/6)</f>
        <v>0</v>
      </c>
      <c r="F2" s="1">
        <f>C2^2</f>
        <v>92.16</v>
      </c>
      <c r="G2" s="1">
        <f>IF(B2=B3,0,(F2-6*E2^2)/5)</f>
        <v>0</v>
      </c>
      <c r="H2" s="1">
        <v>9.9429999999999996</v>
      </c>
      <c r="I2" s="1">
        <v>0.34770000000000001</v>
      </c>
      <c r="J2" s="1">
        <v>1</v>
      </c>
      <c r="K2" s="1">
        <f>0.5*J2</f>
        <v>0.5</v>
      </c>
      <c r="L2" s="1">
        <f>K2*I2</f>
        <v>0.17385</v>
      </c>
      <c r="M2" s="1">
        <v>4.7699999999999996</v>
      </c>
      <c r="N2" s="1">
        <f>$M$2*I2</f>
        <v>1.6585289999999999</v>
      </c>
      <c r="O2">
        <f>C2-$H$2</f>
        <v>-0.34299999999999997</v>
      </c>
      <c r="P2">
        <f>MAX(0,($C2-$H$2))</f>
        <v>0</v>
      </c>
      <c r="Q2">
        <f>MAX(0,($H$2-$C2))</f>
        <v>0.34299999999999997</v>
      </c>
      <c r="R2">
        <f>MAX(0,($C2-$H$2))</f>
        <v>0</v>
      </c>
      <c r="S2">
        <f>MAX(0,($H$2-$C2))</f>
        <v>0.34299999999999997</v>
      </c>
      <c r="T2">
        <f>MAX(0,($C2-$H$2-$L$2))</f>
        <v>0</v>
      </c>
      <c r="U2">
        <f>MAX(0,($H$2-$C2-$L$2))</f>
        <v>0.16914999999999997</v>
      </c>
      <c r="V2">
        <f>IF(T2&gt;0,1,0)</f>
        <v>0</v>
      </c>
      <c r="W2">
        <f>IF(T2&gt;N2,$H$2+(T2/V2)+K2,0)</f>
        <v>0</v>
      </c>
      <c r="X2">
        <f>MAX(0,($C2-$H$2-$L$2+N2/2))</f>
        <v>0.31241449999999993</v>
      </c>
      <c r="Y2">
        <f t="shared" ref="Y2:Y33" si="1">(C2-$H$2)/$I$2</f>
        <v>-0.986482599942479</v>
      </c>
      <c r="Z2">
        <f>MAX(0,Y2-$K$2)</f>
        <v>0</v>
      </c>
      <c r="AA2">
        <f>-MAX(0,-Y2-$K$2)</f>
        <v>-0.486482599942479</v>
      </c>
      <c r="AB2">
        <f>(SQRT(ABS(Y2))-0.822)/0.349</f>
        <v>0.49059686038043321</v>
      </c>
      <c r="AC2">
        <f>MAX(0,AB2-$K$2)</f>
        <v>0</v>
      </c>
      <c r="AD2">
        <f>-MAX(0,-AB2-$K$2)</f>
        <v>0</v>
      </c>
    </row>
    <row r="3" spans="1:30" x14ac:dyDescent="0.3">
      <c r="A3" s="1">
        <v>2</v>
      </c>
      <c r="B3" s="1">
        <v>1</v>
      </c>
      <c r="C3" s="1">
        <v>10.3</v>
      </c>
      <c r="D3" s="1">
        <f>IF(B3=B2,C3+D2,C3)</f>
        <v>19.899999999999999</v>
      </c>
      <c r="E3" s="1">
        <f t="shared" si="0"/>
        <v>0</v>
      </c>
      <c r="F3" s="1">
        <f>IF(B3=B2,C3^2+F2,C3^2)</f>
        <v>198.25</v>
      </c>
      <c r="G3" s="1">
        <f t="shared" ref="G3:G66" si="2">IF(B3=B4,0,(F3-6*E3^2)/5)</f>
        <v>0</v>
      </c>
      <c r="H3" s="1">
        <v>9.9429999999999996</v>
      </c>
      <c r="I3" s="1">
        <v>0.34770000000000001</v>
      </c>
      <c r="J3" s="1"/>
      <c r="K3" s="1"/>
      <c r="L3" s="1"/>
      <c r="M3" s="1">
        <v>4.7699999999999996</v>
      </c>
      <c r="N3" s="1">
        <f t="shared" ref="N3:N66" si="3">$M$2*I3</f>
        <v>1.6585289999999999</v>
      </c>
      <c r="O3">
        <f t="shared" ref="O3:O34" si="4">C3-$H$2+O2</f>
        <v>1.4000000000001123E-2</v>
      </c>
      <c r="P3">
        <f t="shared" ref="P3:P34" si="5">MAX(0,($C3-$H$2))+P2</f>
        <v>0.35700000000000109</v>
      </c>
      <c r="Q3">
        <f t="shared" ref="Q3:Q34" si="6">MAX(0,($H$2-$C3))+Q2</f>
        <v>0.34299999999999997</v>
      </c>
      <c r="R3">
        <f t="shared" ref="R3:R34" si="7">MAX(0,($C3-$H$2+R2))</f>
        <v>0.35700000000000109</v>
      </c>
      <c r="S3">
        <f t="shared" ref="S3:S34" si="8">MAX(0,($H$2-$C3+S2))</f>
        <v>0</v>
      </c>
      <c r="T3">
        <f t="shared" ref="T3:T34" si="9">MAX(0,($C3-$H$2-$L$2+T2))</f>
        <v>0.18315000000000109</v>
      </c>
      <c r="U3">
        <f t="shared" ref="U3:U34" si="10">MAX(0,($H$2-$C3-$L$2+U2))</f>
        <v>0</v>
      </c>
      <c r="V3">
        <f>IF(T3&gt;0,1+V2,0)</f>
        <v>1</v>
      </c>
      <c r="W3">
        <f t="shared" ref="W3:W21" si="11">IF(T3&gt;N3,$H$2+(T3/V3)+K3,0)</f>
        <v>0</v>
      </c>
      <c r="X3">
        <f t="shared" ref="X3:X34" si="12">MAX(0,($C3-$H$2-$L$2+X2))</f>
        <v>0.49556450000000102</v>
      </c>
      <c r="Y3">
        <f t="shared" si="1"/>
        <v>1.0267471958585017</v>
      </c>
      <c r="Z3">
        <f>MAX(0,Y3-$K$2+Z2)</f>
        <v>0.52674719585850172</v>
      </c>
      <c r="AA3">
        <f>-MAX(0,-Y3-$K$2+AA2)</f>
        <v>0</v>
      </c>
      <c r="AB3">
        <f t="shared" ref="AB3:AB21" si="13">(SQRT(ABS(Y3))-0.822)/0.349</f>
        <v>0.54809555214191641</v>
      </c>
      <c r="AC3">
        <f>MAX(0,AB3-$K$2+AC2)</f>
        <v>4.8095552141916409E-2</v>
      </c>
      <c r="AD3">
        <f>-MAX(0,-AB3-$K$2+AD2)</f>
        <v>0</v>
      </c>
    </row>
    <row r="4" spans="1:30" x14ac:dyDescent="0.3">
      <c r="A4" s="1">
        <v>3</v>
      </c>
      <c r="B4" s="1">
        <v>1</v>
      </c>
      <c r="C4" s="1">
        <v>10.3</v>
      </c>
      <c r="D4" s="1">
        <f t="shared" ref="D4:D67" si="14">IF(B4=B3,C4+D3,C4)</f>
        <v>30.2</v>
      </c>
      <c r="E4" s="1">
        <f t="shared" si="0"/>
        <v>0</v>
      </c>
      <c r="F4" s="1">
        <f t="shared" ref="F4:F67" si="15">IF(B4=B3,C4^2+F3,C4^2)</f>
        <v>304.34000000000003</v>
      </c>
      <c r="G4" s="1">
        <f t="shared" si="2"/>
        <v>0</v>
      </c>
      <c r="H4" s="1">
        <v>9.9429999999999996</v>
      </c>
      <c r="I4" s="1">
        <v>0.34770000000000001</v>
      </c>
      <c r="J4" s="1"/>
      <c r="K4" s="1"/>
      <c r="L4" s="1"/>
      <c r="M4" s="1">
        <v>4.7699999999999996</v>
      </c>
      <c r="N4" s="1">
        <f t="shared" si="3"/>
        <v>1.6585289999999999</v>
      </c>
      <c r="O4">
        <f t="shared" si="4"/>
        <v>0.37100000000000222</v>
      </c>
      <c r="P4">
        <f t="shared" si="5"/>
        <v>0.71400000000000219</v>
      </c>
      <c r="Q4">
        <f t="shared" si="6"/>
        <v>0.34299999999999997</v>
      </c>
      <c r="R4">
        <f t="shared" si="7"/>
        <v>0.71400000000000219</v>
      </c>
      <c r="S4">
        <f t="shared" si="8"/>
        <v>0</v>
      </c>
      <c r="T4">
        <f t="shared" si="9"/>
        <v>0.36630000000000218</v>
      </c>
      <c r="U4">
        <f t="shared" si="10"/>
        <v>0</v>
      </c>
      <c r="V4">
        <f t="shared" ref="V4:V21" si="16">IF(T4&gt;0,1+V3,0)</f>
        <v>2</v>
      </c>
      <c r="W4">
        <f t="shared" si="11"/>
        <v>0</v>
      </c>
      <c r="X4">
        <f t="shared" si="12"/>
        <v>0.67871450000000211</v>
      </c>
      <c r="Y4">
        <f t="shared" si="1"/>
        <v>1.0267471958585017</v>
      </c>
      <c r="Z4">
        <f t="shared" ref="Z4:Z21" si="17">MAX(0,Y4-$K$2+Z3)</f>
        <v>1.0534943917170034</v>
      </c>
      <c r="AA4">
        <f t="shared" ref="AA4:AA21" si="18">-MAX(0,-Y4-$K$2+AA3)</f>
        <v>0</v>
      </c>
      <c r="AB4">
        <f t="shared" si="13"/>
        <v>0.54809555214191641</v>
      </c>
      <c r="AC4">
        <f t="shared" ref="AC4:AC21" si="19">MAX(0,AB4-$K$2+AC3)</f>
        <v>9.6191104283832818E-2</v>
      </c>
      <c r="AD4">
        <f t="shared" ref="AD4:AD21" si="20">-MAX(0,-AB4-$K$2+AD3)</f>
        <v>0</v>
      </c>
    </row>
    <row r="5" spans="1:30" x14ac:dyDescent="0.3">
      <c r="A5" s="1">
        <v>4</v>
      </c>
      <c r="B5" s="1">
        <v>1</v>
      </c>
      <c r="C5" s="1">
        <v>9.9</v>
      </c>
      <c r="D5" s="1">
        <f t="shared" si="14"/>
        <v>40.1</v>
      </c>
      <c r="E5" s="1">
        <f t="shared" si="0"/>
        <v>0</v>
      </c>
      <c r="F5" s="1">
        <f t="shared" si="15"/>
        <v>402.35</v>
      </c>
      <c r="G5" s="1">
        <f t="shared" si="2"/>
        <v>0</v>
      </c>
      <c r="H5" s="1">
        <v>9.9429999999999996</v>
      </c>
      <c r="I5" s="1">
        <v>0.34770000000000001</v>
      </c>
      <c r="J5" s="1"/>
      <c r="K5" s="1"/>
      <c r="L5" s="1"/>
      <c r="M5" s="1">
        <v>4.7699999999999996</v>
      </c>
      <c r="N5" s="1">
        <f t="shared" si="3"/>
        <v>1.6585289999999999</v>
      </c>
      <c r="O5">
        <f t="shared" si="4"/>
        <v>0.32800000000000296</v>
      </c>
      <c r="P5">
        <f t="shared" si="5"/>
        <v>0.71400000000000219</v>
      </c>
      <c r="Q5">
        <f t="shared" si="6"/>
        <v>0.38599999999999923</v>
      </c>
      <c r="R5">
        <f t="shared" si="7"/>
        <v>0.67100000000000293</v>
      </c>
      <c r="S5">
        <f t="shared" si="8"/>
        <v>4.2999999999999261E-2</v>
      </c>
      <c r="T5">
        <f t="shared" si="9"/>
        <v>0.14945000000000291</v>
      </c>
      <c r="U5">
        <f t="shared" si="10"/>
        <v>0</v>
      </c>
      <c r="V5">
        <f t="shared" si="16"/>
        <v>3</v>
      </c>
      <c r="W5">
        <f t="shared" si="11"/>
        <v>0</v>
      </c>
      <c r="X5">
        <f t="shared" si="12"/>
        <v>0.46186450000000284</v>
      </c>
      <c r="Y5">
        <f t="shared" si="1"/>
        <v>-0.12366983031348651</v>
      </c>
      <c r="Z5">
        <f t="shared" si="17"/>
        <v>0.42982456140351688</v>
      </c>
      <c r="AA5">
        <f t="shared" si="18"/>
        <v>0</v>
      </c>
      <c r="AB5">
        <f t="shared" si="13"/>
        <v>-1.3476584088962507</v>
      </c>
      <c r="AC5">
        <f t="shared" si="19"/>
        <v>0</v>
      </c>
      <c r="AD5">
        <f t="shared" si="20"/>
        <v>-0.84765840889625066</v>
      </c>
    </row>
    <row r="6" spans="1:30" x14ac:dyDescent="0.3">
      <c r="A6" s="1">
        <v>5</v>
      </c>
      <c r="B6" s="1">
        <v>1</v>
      </c>
      <c r="C6" s="1">
        <v>10.199999999999999</v>
      </c>
      <c r="D6" s="1">
        <f t="shared" si="14"/>
        <v>50.3</v>
      </c>
      <c r="E6" s="1">
        <f t="shared" si="0"/>
        <v>0</v>
      </c>
      <c r="F6" s="1">
        <f t="shared" si="15"/>
        <v>506.39</v>
      </c>
      <c r="G6" s="1">
        <f t="shared" si="2"/>
        <v>0</v>
      </c>
      <c r="H6" s="1">
        <v>9.9429999999999996</v>
      </c>
      <c r="I6" s="1">
        <v>0.34770000000000001</v>
      </c>
      <c r="J6" s="1"/>
      <c r="K6" s="1"/>
      <c r="L6" s="1"/>
      <c r="M6" s="1">
        <v>4.7699999999999996</v>
      </c>
      <c r="N6" s="1">
        <f t="shared" si="3"/>
        <v>1.6585289999999999</v>
      </c>
      <c r="O6">
        <f t="shared" si="4"/>
        <v>0.58500000000000263</v>
      </c>
      <c r="P6">
        <f t="shared" si="5"/>
        <v>0.97100000000000186</v>
      </c>
      <c r="Q6">
        <f t="shared" si="6"/>
        <v>0.38599999999999923</v>
      </c>
      <c r="R6">
        <f t="shared" si="7"/>
        <v>0.9280000000000026</v>
      </c>
      <c r="S6">
        <f t="shared" si="8"/>
        <v>0</v>
      </c>
      <c r="T6">
        <f t="shared" si="9"/>
        <v>0.23260000000000258</v>
      </c>
      <c r="U6">
        <f t="shared" si="10"/>
        <v>0</v>
      </c>
      <c r="V6">
        <f t="shared" si="16"/>
        <v>4</v>
      </c>
      <c r="W6">
        <f t="shared" si="11"/>
        <v>0</v>
      </c>
      <c r="X6">
        <f t="shared" si="12"/>
        <v>0.54501450000000251</v>
      </c>
      <c r="Y6">
        <f t="shared" si="1"/>
        <v>0.7391429393155009</v>
      </c>
      <c r="Z6">
        <f t="shared" si="17"/>
        <v>0.66896750071901778</v>
      </c>
      <c r="AA6">
        <f t="shared" si="18"/>
        <v>0</v>
      </c>
      <c r="AB6">
        <f t="shared" si="13"/>
        <v>0.10812099133682511</v>
      </c>
      <c r="AC6">
        <f t="shared" si="19"/>
        <v>0</v>
      </c>
      <c r="AD6">
        <f t="shared" si="20"/>
        <v>0</v>
      </c>
    </row>
    <row r="7" spans="1:30" x14ac:dyDescent="0.3">
      <c r="A7" s="1">
        <v>6</v>
      </c>
      <c r="B7" s="1">
        <v>1</v>
      </c>
      <c r="C7" s="1">
        <v>9.9</v>
      </c>
      <c r="D7" s="1">
        <f t="shared" si="14"/>
        <v>60.199999999999996</v>
      </c>
      <c r="E7" s="1">
        <f>IF(B7=B8,0,D7/6)</f>
        <v>10.033333333333333</v>
      </c>
      <c r="F7" s="1">
        <f t="shared" si="15"/>
        <v>604.4</v>
      </c>
      <c r="G7" s="1">
        <f t="shared" si="2"/>
        <v>7.8666666666663332E-2</v>
      </c>
      <c r="H7" s="1">
        <v>9.9429999999999996</v>
      </c>
      <c r="I7" s="1">
        <v>0.34770000000000001</v>
      </c>
      <c r="J7" s="1"/>
      <c r="K7" s="1"/>
      <c r="L7" s="1"/>
      <c r="M7" s="1">
        <v>4.7699999999999996</v>
      </c>
      <c r="N7" s="1">
        <f t="shared" si="3"/>
        <v>1.6585289999999999</v>
      </c>
      <c r="O7">
        <f t="shared" si="4"/>
        <v>0.54200000000000337</v>
      </c>
      <c r="P7">
        <f t="shared" si="5"/>
        <v>0.97100000000000186</v>
      </c>
      <c r="Q7">
        <f t="shared" si="6"/>
        <v>0.42899999999999849</v>
      </c>
      <c r="R7">
        <f t="shared" si="7"/>
        <v>0.88500000000000334</v>
      </c>
      <c r="S7">
        <f t="shared" si="8"/>
        <v>4.2999999999999261E-2</v>
      </c>
      <c r="T7">
        <f t="shared" si="9"/>
        <v>1.5750000000003317E-2</v>
      </c>
      <c r="U7">
        <f t="shared" si="10"/>
        <v>0</v>
      </c>
      <c r="V7">
        <f t="shared" si="16"/>
        <v>5</v>
      </c>
      <c r="W7">
        <f t="shared" si="11"/>
        <v>0</v>
      </c>
      <c r="X7">
        <f t="shared" si="12"/>
        <v>0.32816450000000325</v>
      </c>
      <c r="Y7">
        <f t="shared" si="1"/>
        <v>-0.12366983031348651</v>
      </c>
      <c r="Z7">
        <f t="shared" si="17"/>
        <v>4.5297670405531232E-2</v>
      </c>
      <c r="AA7">
        <f t="shared" si="18"/>
        <v>0</v>
      </c>
      <c r="AB7">
        <f t="shared" si="13"/>
        <v>-1.3476584088962507</v>
      </c>
      <c r="AC7">
        <f t="shared" si="19"/>
        <v>0</v>
      </c>
      <c r="AD7">
        <f t="shared" si="20"/>
        <v>-0.84765840889625066</v>
      </c>
    </row>
    <row r="8" spans="1:30" x14ac:dyDescent="0.3">
      <c r="A8" s="1">
        <v>7</v>
      </c>
      <c r="B8" s="1">
        <v>2</v>
      </c>
      <c r="C8" s="1">
        <v>10.5</v>
      </c>
      <c r="D8" s="1">
        <f t="shared" si="14"/>
        <v>10.5</v>
      </c>
      <c r="E8" s="1">
        <f t="shared" si="0"/>
        <v>0</v>
      </c>
      <c r="F8" s="1">
        <f t="shared" si="15"/>
        <v>110.25</v>
      </c>
      <c r="G8" s="1">
        <f t="shared" si="2"/>
        <v>0</v>
      </c>
      <c r="H8" s="1">
        <v>9.9429999999999996</v>
      </c>
      <c r="I8" s="1">
        <v>0.34770000000000001</v>
      </c>
      <c r="J8" s="1"/>
      <c r="K8" s="1"/>
      <c r="L8" s="1"/>
      <c r="M8" s="1">
        <v>4.7699999999999996</v>
      </c>
      <c r="N8" s="1">
        <f t="shared" si="3"/>
        <v>1.6585289999999999</v>
      </c>
      <c r="O8">
        <f t="shared" si="4"/>
        <v>1.0990000000000038</v>
      </c>
      <c r="P8">
        <f t="shared" si="5"/>
        <v>1.5280000000000022</v>
      </c>
      <c r="Q8">
        <f t="shared" si="6"/>
        <v>0.42899999999999849</v>
      </c>
      <c r="R8">
        <f t="shared" si="7"/>
        <v>1.4420000000000037</v>
      </c>
      <c r="S8">
        <f t="shared" si="8"/>
        <v>0</v>
      </c>
      <c r="T8">
        <f t="shared" si="9"/>
        <v>0.3989000000000037</v>
      </c>
      <c r="U8">
        <f t="shared" si="10"/>
        <v>0</v>
      </c>
      <c r="V8">
        <f t="shared" si="16"/>
        <v>6</v>
      </c>
      <c r="W8">
        <f t="shared" si="11"/>
        <v>0</v>
      </c>
      <c r="X8">
        <f t="shared" si="12"/>
        <v>0.71131450000000362</v>
      </c>
      <c r="Y8">
        <f t="shared" si="1"/>
        <v>1.6019557089444934</v>
      </c>
      <c r="Z8">
        <f t="shared" si="17"/>
        <v>1.1472533793500246</v>
      </c>
      <c r="AA8">
        <f t="shared" si="18"/>
        <v>0</v>
      </c>
      <c r="AB8">
        <f t="shared" si="13"/>
        <v>1.2713005438907443</v>
      </c>
      <c r="AC8">
        <f t="shared" si="19"/>
        <v>0.77130054389074432</v>
      </c>
      <c r="AD8">
        <f t="shared" si="20"/>
        <v>0</v>
      </c>
    </row>
    <row r="9" spans="1:30" x14ac:dyDescent="0.3">
      <c r="A9" s="1">
        <v>8</v>
      </c>
      <c r="B9" s="1">
        <v>2</v>
      </c>
      <c r="C9" s="1">
        <v>10.199999999999999</v>
      </c>
      <c r="D9" s="1">
        <f t="shared" si="14"/>
        <v>20.7</v>
      </c>
      <c r="E9" s="1">
        <f t="shared" si="0"/>
        <v>0</v>
      </c>
      <c r="F9" s="1">
        <f t="shared" si="15"/>
        <v>214.29</v>
      </c>
      <c r="G9" s="1">
        <f t="shared" si="2"/>
        <v>0</v>
      </c>
      <c r="H9" s="1">
        <v>9.9429999999999996</v>
      </c>
      <c r="I9" s="1">
        <v>0.34770000000000001</v>
      </c>
      <c r="J9" s="1"/>
      <c r="K9" s="1"/>
      <c r="L9" s="1"/>
      <c r="M9" s="1">
        <v>4.7699999999999996</v>
      </c>
      <c r="N9" s="1">
        <f t="shared" si="3"/>
        <v>1.6585289999999999</v>
      </c>
      <c r="O9">
        <f t="shared" si="4"/>
        <v>1.3560000000000034</v>
      </c>
      <c r="P9">
        <f t="shared" si="5"/>
        <v>1.7850000000000019</v>
      </c>
      <c r="Q9">
        <f t="shared" si="6"/>
        <v>0.42899999999999849</v>
      </c>
      <c r="R9">
        <f t="shared" si="7"/>
        <v>1.6990000000000034</v>
      </c>
      <c r="S9">
        <f t="shared" si="8"/>
        <v>0</v>
      </c>
      <c r="T9">
        <f t="shared" si="9"/>
        <v>0.48205000000000336</v>
      </c>
      <c r="U9">
        <f t="shared" si="10"/>
        <v>0</v>
      </c>
      <c r="V9">
        <f t="shared" si="16"/>
        <v>7</v>
      </c>
      <c r="W9">
        <f t="shared" si="11"/>
        <v>0</v>
      </c>
      <c r="X9">
        <f t="shared" si="12"/>
        <v>0.79446450000000324</v>
      </c>
      <c r="Y9">
        <f t="shared" si="1"/>
        <v>0.7391429393155009</v>
      </c>
      <c r="Z9">
        <f t="shared" si="17"/>
        <v>1.3863963186655255</v>
      </c>
      <c r="AA9">
        <f t="shared" si="18"/>
        <v>0</v>
      </c>
      <c r="AB9">
        <f t="shared" si="13"/>
        <v>0.10812099133682511</v>
      </c>
      <c r="AC9">
        <f t="shared" si="19"/>
        <v>0.37942153522756944</v>
      </c>
      <c r="AD9">
        <f t="shared" si="20"/>
        <v>0</v>
      </c>
    </row>
    <row r="10" spans="1:30" x14ac:dyDescent="0.3">
      <c r="A10" s="1">
        <v>9</v>
      </c>
      <c r="B10" s="1">
        <v>2</v>
      </c>
      <c r="C10" s="1">
        <v>10.7</v>
      </c>
      <c r="D10" s="1">
        <f t="shared" si="14"/>
        <v>31.4</v>
      </c>
      <c r="E10" s="1">
        <f t="shared" si="0"/>
        <v>0</v>
      </c>
      <c r="F10" s="1">
        <f t="shared" si="15"/>
        <v>328.78</v>
      </c>
      <c r="G10" s="1">
        <f t="shared" si="2"/>
        <v>0</v>
      </c>
      <c r="H10" s="1">
        <v>9.9429999999999996</v>
      </c>
      <c r="I10" s="1">
        <v>0.34770000000000001</v>
      </c>
      <c r="J10" s="1"/>
      <c r="K10" s="1"/>
      <c r="L10" s="1"/>
      <c r="M10" s="1">
        <v>4.7699999999999996</v>
      </c>
      <c r="N10" s="1">
        <f t="shared" si="3"/>
        <v>1.6585289999999999</v>
      </c>
      <c r="O10">
        <f t="shared" si="4"/>
        <v>2.1130000000000031</v>
      </c>
      <c r="P10">
        <f t="shared" si="5"/>
        <v>2.5420000000000016</v>
      </c>
      <c r="Q10">
        <f t="shared" si="6"/>
        <v>0.42899999999999849</v>
      </c>
      <c r="R10">
        <f t="shared" si="7"/>
        <v>2.4560000000000031</v>
      </c>
      <c r="S10">
        <f t="shared" si="8"/>
        <v>0</v>
      </c>
      <c r="T10">
        <f t="shared" si="9"/>
        <v>1.065200000000003</v>
      </c>
      <c r="U10">
        <f t="shared" si="10"/>
        <v>0</v>
      </c>
      <c r="V10">
        <f>IF(T10&gt;0,1+V9,0)</f>
        <v>8</v>
      </c>
      <c r="W10">
        <f t="shared" si="11"/>
        <v>0</v>
      </c>
      <c r="X10">
        <f t="shared" si="12"/>
        <v>1.3776145000000029</v>
      </c>
      <c r="Y10">
        <f t="shared" si="1"/>
        <v>2.177164222030485</v>
      </c>
      <c r="Z10">
        <f>MAX(0,Y10-$K$2+Z9)</f>
        <v>3.0635605406960105</v>
      </c>
      <c r="AA10">
        <f>-MAX(0,-Y10-$K$2+AA9)</f>
        <v>0</v>
      </c>
      <c r="AB10">
        <f t="shared" si="13"/>
        <v>1.872554951078264</v>
      </c>
      <c r="AC10">
        <f>MAX(0,AB10-$K$2+AC9)</f>
        <v>1.7519764863058334</v>
      </c>
      <c r="AD10">
        <f>-MAX(0,-AB10-$K$2+AD9)</f>
        <v>0</v>
      </c>
    </row>
    <row r="11" spans="1:30" x14ac:dyDescent="0.3">
      <c r="A11" s="1">
        <v>10</v>
      </c>
      <c r="B11" s="1">
        <v>2</v>
      </c>
      <c r="C11" s="1">
        <v>9.6</v>
      </c>
      <c r="D11" s="1">
        <f t="shared" si="14"/>
        <v>41</v>
      </c>
      <c r="E11" s="1">
        <f t="shared" si="0"/>
        <v>0</v>
      </c>
      <c r="F11" s="1">
        <f t="shared" si="15"/>
        <v>420.93999999999994</v>
      </c>
      <c r="G11" s="1">
        <f t="shared" si="2"/>
        <v>0</v>
      </c>
      <c r="H11" s="1">
        <v>9.9429999999999996</v>
      </c>
      <c r="I11" s="1">
        <v>0.34770000000000001</v>
      </c>
      <c r="J11" s="1"/>
      <c r="K11" s="1"/>
      <c r="L11" s="1"/>
      <c r="M11" s="1">
        <v>4.7699999999999996</v>
      </c>
      <c r="N11" s="1">
        <f t="shared" si="3"/>
        <v>1.6585289999999999</v>
      </c>
      <c r="O11">
        <f t="shared" si="4"/>
        <v>1.7700000000000031</v>
      </c>
      <c r="P11">
        <f t="shared" si="5"/>
        <v>2.5420000000000016</v>
      </c>
      <c r="Q11">
        <f t="shared" si="6"/>
        <v>0.77199999999999847</v>
      </c>
      <c r="R11">
        <f t="shared" si="7"/>
        <v>2.1130000000000031</v>
      </c>
      <c r="S11">
        <f t="shared" si="8"/>
        <v>0.34299999999999997</v>
      </c>
      <c r="T11">
        <f t="shared" si="9"/>
        <v>0.548350000000003</v>
      </c>
      <c r="U11">
        <f t="shared" si="10"/>
        <v>0.16914999999999997</v>
      </c>
      <c r="V11">
        <f>IF(T11&gt;0,1+V10,0)</f>
        <v>9</v>
      </c>
      <c r="W11">
        <f t="shared" si="11"/>
        <v>0</v>
      </c>
      <c r="X11">
        <f t="shared" si="12"/>
        <v>0.86076450000000282</v>
      </c>
      <c r="Y11">
        <f t="shared" si="1"/>
        <v>-0.986482599942479</v>
      </c>
      <c r="Z11">
        <f>MAX(0,Y11-$K$2+Z10)</f>
        <v>1.5770779407535316</v>
      </c>
      <c r="AA11">
        <f>-MAX(0,-Y11-$K$2+AA10)</f>
        <v>-0.486482599942479</v>
      </c>
      <c r="AB11">
        <f t="shared" si="13"/>
        <v>0.49059686038043321</v>
      </c>
      <c r="AC11">
        <f>MAX(0,AB11-$K$2+AC10)</f>
        <v>1.7425733466862665</v>
      </c>
      <c r="AD11">
        <f>-MAX(0,-AB11-$K$2+AD10)</f>
        <v>0</v>
      </c>
    </row>
    <row r="12" spans="1:30" x14ac:dyDescent="0.3">
      <c r="A12" s="1">
        <v>11</v>
      </c>
      <c r="B12" s="1">
        <v>2</v>
      </c>
      <c r="C12" s="1">
        <v>9.4</v>
      </c>
      <c r="D12" s="1">
        <f t="shared" si="14"/>
        <v>50.4</v>
      </c>
      <c r="E12" s="1">
        <f t="shared" si="0"/>
        <v>0</v>
      </c>
      <c r="F12" s="1">
        <f t="shared" si="15"/>
        <v>509.29999999999995</v>
      </c>
      <c r="G12" s="1">
        <f t="shared" si="2"/>
        <v>0</v>
      </c>
      <c r="H12" s="1">
        <v>9.9429999999999996</v>
      </c>
      <c r="I12" s="1">
        <v>0.34770000000000001</v>
      </c>
      <c r="J12" s="1"/>
      <c r="K12" s="1"/>
      <c r="L12" s="1"/>
      <c r="M12" s="1">
        <v>4.7699999999999996</v>
      </c>
      <c r="N12" s="1">
        <f t="shared" si="3"/>
        <v>1.6585289999999999</v>
      </c>
      <c r="O12">
        <f t="shared" si="4"/>
        <v>1.2270000000000039</v>
      </c>
      <c r="P12">
        <f t="shared" si="5"/>
        <v>2.5420000000000016</v>
      </c>
      <c r="Q12">
        <f t="shared" si="6"/>
        <v>1.3149999999999977</v>
      </c>
      <c r="R12">
        <f t="shared" si="7"/>
        <v>1.5700000000000038</v>
      </c>
      <c r="S12">
        <f t="shared" si="8"/>
        <v>0.88599999999999923</v>
      </c>
      <c r="T12">
        <f t="shared" si="9"/>
        <v>0</v>
      </c>
      <c r="U12">
        <f t="shared" si="10"/>
        <v>0.53829999999999922</v>
      </c>
      <c r="V12">
        <f t="shared" si="16"/>
        <v>0</v>
      </c>
      <c r="W12">
        <f t="shared" si="11"/>
        <v>0</v>
      </c>
      <c r="X12">
        <f t="shared" si="12"/>
        <v>0.1439145000000035</v>
      </c>
      <c r="Y12">
        <f t="shared" si="1"/>
        <v>-1.5616911130284707</v>
      </c>
      <c r="Z12">
        <f t="shared" si="17"/>
        <v>0</v>
      </c>
      <c r="AA12">
        <f t="shared" si="18"/>
        <v>-0.57520851308599175</v>
      </c>
      <c r="AB12">
        <f t="shared" si="13"/>
        <v>1.225433820416806</v>
      </c>
      <c r="AC12">
        <f t="shared" si="19"/>
        <v>2.4680071671030728</v>
      </c>
      <c r="AD12">
        <f t="shared" si="20"/>
        <v>0</v>
      </c>
    </row>
    <row r="13" spans="1:30" x14ac:dyDescent="0.3">
      <c r="A13" s="1">
        <v>12</v>
      </c>
      <c r="B13" s="1">
        <v>2</v>
      </c>
      <c r="C13" s="1">
        <v>9.6</v>
      </c>
      <c r="D13" s="1">
        <f t="shared" si="14"/>
        <v>60</v>
      </c>
      <c r="E13" s="1">
        <f t="shared" si="0"/>
        <v>10</v>
      </c>
      <c r="F13" s="1">
        <f t="shared" si="15"/>
        <v>601.45999999999992</v>
      </c>
      <c r="G13" s="1">
        <f t="shared" si="2"/>
        <v>0.29199999999998455</v>
      </c>
      <c r="H13" s="1">
        <v>9.9429999999999996</v>
      </c>
      <c r="I13" s="1">
        <v>0.34770000000000001</v>
      </c>
      <c r="J13" s="1"/>
      <c r="K13" s="1"/>
      <c r="L13" s="1"/>
      <c r="M13" s="1">
        <v>4.7699999999999996</v>
      </c>
      <c r="N13" s="1">
        <f t="shared" si="3"/>
        <v>1.6585289999999999</v>
      </c>
      <c r="O13">
        <f t="shared" si="4"/>
        <v>0.88400000000000389</v>
      </c>
      <c r="P13">
        <f t="shared" si="5"/>
        <v>2.5420000000000016</v>
      </c>
      <c r="Q13">
        <f t="shared" si="6"/>
        <v>1.6579999999999977</v>
      </c>
      <c r="R13">
        <f t="shared" si="7"/>
        <v>1.2270000000000039</v>
      </c>
      <c r="S13">
        <f t="shared" si="8"/>
        <v>1.2289999999999992</v>
      </c>
      <c r="T13">
        <f t="shared" si="9"/>
        <v>0</v>
      </c>
      <c r="U13">
        <f t="shared" si="10"/>
        <v>0.70744999999999925</v>
      </c>
      <c r="V13">
        <f t="shared" si="16"/>
        <v>0</v>
      </c>
      <c r="W13">
        <f t="shared" si="11"/>
        <v>0</v>
      </c>
      <c r="X13">
        <f t="shared" si="12"/>
        <v>0</v>
      </c>
      <c r="Y13">
        <f t="shared" si="1"/>
        <v>-0.986482599942479</v>
      </c>
      <c r="Z13">
        <f t="shared" si="17"/>
        <v>0</v>
      </c>
      <c r="AA13">
        <f t="shared" si="18"/>
        <v>0</v>
      </c>
      <c r="AB13">
        <f t="shared" si="13"/>
        <v>0.49059686038043321</v>
      </c>
      <c r="AC13">
        <f t="shared" si="19"/>
        <v>2.4586040274835059</v>
      </c>
      <c r="AD13">
        <f t="shared" si="20"/>
        <v>0</v>
      </c>
    </row>
    <row r="14" spans="1:30" x14ac:dyDescent="0.3">
      <c r="A14" s="1">
        <v>13</v>
      </c>
      <c r="B14" s="1">
        <v>3</v>
      </c>
      <c r="C14" s="1">
        <v>10.1</v>
      </c>
      <c r="D14" s="1">
        <f t="shared" si="14"/>
        <v>10.1</v>
      </c>
      <c r="E14" s="1">
        <f t="shared" si="0"/>
        <v>0</v>
      </c>
      <c r="F14" s="1">
        <f t="shared" si="15"/>
        <v>102.00999999999999</v>
      </c>
      <c r="G14" s="1">
        <f t="shared" si="2"/>
        <v>0</v>
      </c>
      <c r="H14" s="1">
        <v>9.9429999999999996</v>
      </c>
      <c r="I14" s="1">
        <v>0.34770000000000001</v>
      </c>
      <c r="J14" s="1"/>
      <c r="K14" s="1"/>
      <c r="L14" s="1"/>
      <c r="M14" s="1">
        <v>4.7699999999999996</v>
      </c>
      <c r="N14" s="1">
        <f t="shared" si="3"/>
        <v>1.6585289999999999</v>
      </c>
      <c r="O14">
        <f t="shared" si="4"/>
        <v>1.0410000000000039</v>
      </c>
      <c r="P14">
        <f t="shared" si="5"/>
        <v>2.6990000000000016</v>
      </c>
      <c r="Q14">
        <f t="shared" si="6"/>
        <v>1.6579999999999977</v>
      </c>
      <c r="R14">
        <f t="shared" si="7"/>
        <v>1.3840000000000039</v>
      </c>
      <c r="S14">
        <f t="shared" si="8"/>
        <v>1.0719999999999992</v>
      </c>
      <c r="T14">
        <f t="shared" si="9"/>
        <v>0</v>
      </c>
      <c r="U14">
        <f t="shared" si="10"/>
        <v>0.37659999999999921</v>
      </c>
      <c r="V14">
        <f t="shared" si="16"/>
        <v>0</v>
      </c>
      <c r="W14">
        <f t="shared" si="11"/>
        <v>0</v>
      </c>
      <c r="X14">
        <f t="shared" si="12"/>
        <v>0</v>
      </c>
      <c r="Y14">
        <f t="shared" si="1"/>
        <v>0.45153868277250508</v>
      </c>
      <c r="Z14">
        <f t="shared" si="17"/>
        <v>0</v>
      </c>
      <c r="AA14">
        <f t="shared" si="18"/>
        <v>0</v>
      </c>
      <c r="AB14">
        <f t="shared" si="13"/>
        <v>-0.42989604304063328</v>
      </c>
      <c r="AC14">
        <f t="shared" si="19"/>
        <v>1.5287079844428726</v>
      </c>
      <c r="AD14">
        <f t="shared" si="20"/>
        <v>0</v>
      </c>
    </row>
    <row r="15" spans="1:30" x14ac:dyDescent="0.3">
      <c r="A15" s="1">
        <v>14</v>
      </c>
      <c r="B15" s="1">
        <v>3</v>
      </c>
      <c r="C15" s="1">
        <v>10.3</v>
      </c>
      <c r="D15" s="1">
        <f t="shared" si="14"/>
        <v>20.399999999999999</v>
      </c>
      <c r="E15" s="1">
        <f t="shared" si="0"/>
        <v>0</v>
      </c>
      <c r="F15" s="1">
        <f t="shared" si="15"/>
        <v>208.10000000000002</v>
      </c>
      <c r="G15" s="1">
        <f t="shared" si="2"/>
        <v>0</v>
      </c>
      <c r="H15" s="1">
        <v>9.9429999999999996</v>
      </c>
      <c r="I15" s="1">
        <v>0.34770000000000001</v>
      </c>
      <c r="J15" s="1"/>
      <c r="K15" s="1"/>
      <c r="L15" s="1"/>
      <c r="M15" s="1">
        <v>4.7699999999999996</v>
      </c>
      <c r="N15" s="1">
        <f t="shared" si="3"/>
        <v>1.6585289999999999</v>
      </c>
      <c r="O15">
        <f t="shared" si="4"/>
        <v>1.398000000000005</v>
      </c>
      <c r="P15">
        <f t="shared" si="5"/>
        <v>3.0560000000000027</v>
      </c>
      <c r="Q15">
        <f t="shared" si="6"/>
        <v>1.6579999999999977</v>
      </c>
      <c r="R15">
        <f t="shared" si="7"/>
        <v>1.741000000000005</v>
      </c>
      <c r="S15">
        <f t="shared" si="8"/>
        <v>0.71499999999999808</v>
      </c>
      <c r="T15">
        <f t="shared" si="9"/>
        <v>0.18315000000000109</v>
      </c>
      <c r="U15">
        <f t="shared" si="10"/>
        <v>0</v>
      </c>
      <c r="V15">
        <f t="shared" si="16"/>
        <v>1</v>
      </c>
      <c r="W15">
        <f t="shared" si="11"/>
        <v>0</v>
      </c>
      <c r="X15">
        <f t="shared" si="12"/>
        <v>0.18315000000000109</v>
      </c>
      <c r="Y15">
        <f t="shared" si="1"/>
        <v>1.0267471958585017</v>
      </c>
      <c r="Z15">
        <f t="shared" si="17"/>
        <v>0.52674719585850172</v>
      </c>
      <c r="AA15">
        <f t="shared" si="18"/>
        <v>0</v>
      </c>
      <c r="AB15">
        <f t="shared" si="13"/>
        <v>0.54809555214191641</v>
      </c>
      <c r="AC15">
        <f t="shared" si="19"/>
        <v>1.576803536584789</v>
      </c>
      <c r="AD15">
        <f t="shared" si="20"/>
        <v>0</v>
      </c>
    </row>
    <row r="16" spans="1:30" x14ac:dyDescent="0.3">
      <c r="A16" s="1">
        <v>15</v>
      </c>
      <c r="B16" s="1">
        <v>3</v>
      </c>
      <c r="C16" s="1">
        <v>9.6999999999999993</v>
      </c>
      <c r="D16" s="1">
        <f t="shared" si="14"/>
        <v>30.099999999999998</v>
      </c>
      <c r="E16" s="1">
        <f t="shared" si="0"/>
        <v>0</v>
      </c>
      <c r="F16" s="1">
        <f t="shared" si="15"/>
        <v>302.19</v>
      </c>
      <c r="G16" s="1">
        <f t="shared" si="2"/>
        <v>0</v>
      </c>
      <c r="H16" s="1">
        <v>9.9429999999999996</v>
      </c>
      <c r="I16" s="1">
        <v>0.34770000000000001</v>
      </c>
      <c r="J16" s="1"/>
      <c r="K16" s="1"/>
      <c r="L16" s="1"/>
      <c r="M16" s="1">
        <v>4.7699999999999996</v>
      </c>
      <c r="N16" s="1">
        <f t="shared" si="3"/>
        <v>1.6585289999999999</v>
      </c>
      <c r="O16">
        <f t="shared" si="4"/>
        <v>1.1550000000000047</v>
      </c>
      <c r="P16">
        <f t="shared" si="5"/>
        <v>3.0560000000000027</v>
      </c>
      <c r="Q16">
        <f t="shared" si="6"/>
        <v>1.900999999999998</v>
      </c>
      <c r="R16">
        <f t="shared" si="7"/>
        <v>1.4980000000000047</v>
      </c>
      <c r="S16">
        <f t="shared" si="8"/>
        <v>0.95799999999999841</v>
      </c>
      <c r="T16">
        <f t="shared" si="9"/>
        <v>0</v>
      </c>
      <c r="U16">
        <f t="shared" si="10"/>
        <v>6.9150000000000322E-2</v>
      </c>
      <c r="V16">
        <f t="shared" si="16"/>
        <v>0</v>
      </c>
      <c r="W16">
        <f t="shared" si="11"/>
        <v>0</v>
      </c>
      <c r="X16">
        <f t="shared" si="12"/>
        <v>0</v>
      </c>
      <c r="Y16">
        <f t="shared" si="1"/>
        <v>-0.69887834339948318</v>
      </c>
      <c r="Z16">
        <f t="shared" si="17"/>
        <v>0</v>
      </c>
      <c r="AA16">
        <f t="shared" si="18"/>
        <v>-0.19887834339948318</v>
      </c>
      <c r="AB16">
        <f t="shared" si="13"/>
        <v>4.0084354629023308E-2</v>
      </c>
      <c r="AC16">
        <f t="shared" si="19"/>
        <v>1.1168878912138123</v>
      </c>
      <c r="AD16">
        <f t="shared" si="20"/>
        <v>0</v>
      </c>
    </row>
    <row r="17" spans="1:30" x14ac:dyDescent="0.3">
      <c r="A17" s="1">
        <v>16</v>
      </c>
      <c r="B17" s="1">
        <v>3</v>
      </c>
      <c r="C17" s="1">
        <v>9.6999999999999993</v>
      </c>
      <c r="D17" s="1">
        <f t="shared" si="14"/>
        <v>39.799999999999997</v>
      </c>
      <c r="E17" s="1">
        <f t="shared" si="0"/>
        <v>0</v>
      </c>
      <c r="F17" s="1">
        <f t="shared" si="15"/>
        <v>396.28</v>
      </c>
      <c r="G17" s="1">
        <f t="shared" si="2"/>
        <v>0</v>
      </c>
      <c r="H17" s="1">
        <v>9.9429999999999996</v>
      </c>
      <c r="I17" s="1">
        <v>0.34770000000000001</v>
      </c>
      <c r="J17" s="1"/>
      <c r="K17" s="1"/>
      <c r="L17" s="1"/>
      <c r="M17" s="1">
        <v>4.7699999999999996</v>
      </c>
      <c r="N17" s="1">
        <f t="shared" si="3"/>
        <v>1.6585289999999999</v>
      </c>
      <c r="O17">
        <f t="shared" si="4"/>
        <v>0.91200000000000436</v>
      </c>
      <c r="P17">
        <f t="shared" si="5"/>
        <v>3.0560000000000027</v>
      </c>
      <c r="Q17">
        <f t="shared" si="6"/>
        <v>2.1439999999999984</v>
      </c>
      <c r="R17">
        <f t="shared" si="7"/>
        <v>1.2550000000000043</v>
      </c>
      <c r="S17">
        <f t="shared" si="8"/>
        <v>1.2009999999999987</v>
      </c>
      <c r="T17">
        <f t="shared" si="9"/>
        <v>0</v>
      </c>
      <c r="U17">
        <f t="shared" si="10"/>
        <v>0.13830000000000064</v>
      </c>
      <c r="V17">
        <f t="shared" si="16"/>
        <v>0</v>
      </c>
      <c r="W17">
        <f t="shared" si="11"/>
        <v>0</v>
      </c>
      <c r="X17">
        <f t="shared" si="12"/>
        <v>0</v>
      </c>
      <c r="Y17">
        <f t="shared" si="1"/>
        <v>-0.69887834339948318</v>
      </c>
      <c r="Z17">
        <f t="shared" si="17"/>
        <v>0</v>
      </c>
      <c r="AA17">
        <f t="shared" si="18"/>
        <v>0</v>
      </c>
      <c r="AB17">
        <f t="shared" si="13"/>
        <v>4.0084354629023308E-2</v>
      </c>
      <c r="AC17">
        <f t="shared" si="19"/>
        <v>0.65697224584283553</v>
      </c>
      <c r="AD17">
        <f t="shared" si="20"/>
        <v>0</v>
      </c>
    </row>
    <row r="18" spans="1:30" x14ac:dyDescent="0.3">
      <c r="A18" s="1">
        <v>17</v>
      </c>
      <c r="B18" s="1">
        <v>3</v>
      </c>
      <c r="C18" s="1">
        <v>9.6999999999999993</v>
      </c>
      <c r="D18" s="1">
        <f t="shared" si="14"/>
        <v>49.5</v>
      </c>
      <c r="E18" s="1">
        <f t="shared" si="0"/>
        <v>0</v>
      </c>
      <c r="F18" s="1">
        <f t="shared" si="15"/>
        <v>490.36999999999995</v>
      </c>
      <c r="G18" s="1">
        <f t="shared" si="2"/>
        <v>0</v>
      </c>
      <c r="H18" s="1">
        <v>9.9429999999999996</v>
      </c>
      <c r="I18" s="1">
        <v>0.34770000000000001</v>
      </c>
      <c r="J18" s="1"/>
      <c r="K18" s="1"/>
      <c r="L18" s="1"/>
      <c r="M18" s="1">
        <v>4.7699999999999996</v>
      </c>
      <c r="N18" s="1">
        <f t="shared" si="3"/>
        <v>1.6585289999999999</v>
      </c>
      <c r="O18">
        <f t="shared" si="4"/>
        <v>0.66900000000000404</v>
      </c>
      <c r="P18">
        <f t="shared" si="5"/>
        <v>3.0560000000000027</v>
      </c>
      <c r="Q18">
        <f t="shared" si="6"/>
        <v>2.3869999999999987</v>
      </c>
      <c r="R18">
        <f t="shared" si="7"/>
        <v>1.012000000000004</v>
      </c>
      <c r="S18">
        <f t="shared" si="8"/>
        <v>1.4439999999999991</v>
      </c>
      <c r="T18">
        <f t="shared" si="9"/>
        <v>0</v>
      </c>
      <c r="U18">
        <f t="shared" si="10"/>
        <v>0.20745000000000097</v>
      </c>
      <c r="V18">
        <f t="shared" si="16"/>
        <v>0</v>
      </c>
      <c r="W18">
        <f t="shared" si="11"/>
        <v>0</v>
      </c>
      <c r="X18">
        <f t="shared" si="12"/>
        <v>0</v>
      </c>
      <c r="Y18">
        <f t="shared" si="1"/>
        <v>-0.69887834339948318</v>
      </c>
      <c r="Z18">
        <f t="shared" si="17"/>
        <v>0</v>
      </c>
      <c r="AA18">
        <f t="shared" si="18"/>
        <v>-0.19887834339948318</v>
      </c>
      <c r="AB18">
        <f t="shared" si="13"/>
        <v>4.0084354629023308E-2</v>
      </c>
      <c r="AC18">
        <f t="shared" si="19"/>
        <v>0.19705660047185886</v>
      </c>
      <c r="AD18">
        <f t="shared" si="20"/>
        <v>0</v>
      </c>
    </row>
    <row r="19" spans="1:30" x14ac:dyDescent="0.3">
      <c r="A19" s="1">
        <v>18</v>
      </c>
      <c r="B19" s="1">
        <v>3</v>
      </c>
      <c r="C19" s="1">
        <v>10</v>
      </c>
      <c r="D19" s="1">
        <f t="shared" si="14"/>
        <v>59.5</v>
      </c>
      <c r="E19" s="1">
        <f t="shared" si="0"/>
        <v>9.9166666666666661</v>
      </c>
      <c r="F19" s="1">
        <f t="shared" si="15"/>
        <v>590.36999999999989</v>
      </c>
      <c r="G19" s="1">
        <f t="shared" si="2"/>
        <v>6.5666666666652412E-2</v>
      </c>
      <c r="H19" s="1">
        <v>9.9429999999999996</v>
      </c>
      <c r="I19" s="1">
        <v>0.34770000000000001</v>
      </c>
      <c r="J19" s="1"/>
      <c r="K19" s="1"/>
      <c r="L19" s="1"/>
      <c r="M19" s="1">
        <v>4.7699999999999996</v>
      </c>
      <c r="N19" s="1">
        <f t="shared" si="3"/>
        <v>1.6585289999999999</v>
      </c>
      <c r="O19">
        <f t="shared" si="4"/>
        <v>0.72600000000000442</v>
      </c>
      <c r="P19">
        <f t="shared" si="5"/>
        <v>3.1130000000000031</v>
      </c>
      <c r="Q19">
        <f t="shared" si="6"/>
        <v>2.3869999999999987</v>
      </c>
      <c r="R19">
        <f t="shared" si="7"/>
        <v>1.0690000000000044</v>
      </c>
      <c r="S19">
        <f t="shared" si="8"/>
        <v>1.3869999999999987</v>
      </c>
      <c r="T19">
        <f t="shared" si="9"/>
        <v>0</v>
      </c>
      <c r="U19">
        <f t="shared" si="10"/>
        <v>0</v>
      </c>
      <c r="V19">
        <f t="shared" si="16"/>
        <v>0</v>
      </c>
      <c r="W19">
        <f t="shared" si="11"/>
        <v>0</v>
      </c>
      <c r="X19">
        <f t="shared" si="12"/>
        <v>0</v>
      </c>
      <c r="Y19">
        <f t="shared" si="1"/>
        <v>0.16393442622950929</v>
      </c>
      <c r="Z19">
        <f t="shared" si="17"/>
        <v>0</v>
      </c>
      <c r="AA19">
        <f t="shared" si="18"/>
        <v>0</v>
      </c>
      <c r="AB19">
        <f t="shared" si="13"/>
        <v>-1.1951628507465348</v>
      </c>
      <c r="AC19">
        <f t="shared" si="19"/>
        <v>0</v>
      </c>
      <c r="AD19">
        <f t="shared" si="20"/>
        <v>-0.69516285074653483</v>
      </c>
    </row>
    <row r="20" spans="1:30" x14ac:dyDescent="0.3">
      <c r="A20" s="1">
        <v>19</v>
      </c>
      <c r="B20" s="1">
        <v>4</v>
      </c>
      <c r="C20" s="1">
        <v>10.1</v>
      </c>
      <c r="D20" s="1">
        <f t="shared" si="14"/>
        <v>10.1</v>
      </c>
      <c r="E20" s="1">
        <f t="shared" si="0"/>
        <v>0</v>
      </c>
      <c r="F20" s="1">
        <f t="shared" si="15"/>
        <v>102.00999999999999</v>
      </c>
      <c r="G20" s="1">
        <f t="shared" si="2"/>
        <v>0</v>
      </c>
      <c r="H20" s="1">
        <v>9.9429999999999996</v>
      </c>
      <c r="I20" s="1">
        <v>0.34770000000000001</v>
      </c>
      <c r="J20" s="1"/>
      <c r="K20" s="1"/>
      <c r="L20" s="1"/>
      <c r="M20" s="1">
        <v>4.7699999999999996</v>
      </c>
      <c r="N20" s="1">
        <f t="shared" si="3"/>
        <v>1.6585289999999999</v>
      </c>
      <c r="O20">
        <f t="shared" si="4"/>
        <v>0.88300000000000445</v>
      </c>
      <c r="P20">
        <f t="shared" si="5"/>
        <v>3.2700000000000031</v>
      </c>
      <c r="Q20">
        <f t="shared" si="6"/>
        <v>2.3869999999999987</v>
      </c>
      <c r="R20">
        <f t="shared" si="7"/>
        <v>1.2260000000000044</v>
      </c>
      <c r="S20">
        <f t="shared" si="8"/>
        <v>1.2299999999999986</v>
      </c>
      <c r="T20">
        <f t="shared" si="9"/>
        <v>0</v>
      </c>
      <c r="U20">
        <f t="shared" si="10"/>
        <v>0</v>
      </c>
      <c r="V20">
        <f t="shared" si="16"/>
        <v>0</v>
      </c>
      <c r="W20">
        <f t="shared" si="11"/>
        <v>0</v>
      </c>
      <c r="X20">
        <f t="shared" si="12"/>
        <v>0</v>
      </c>
      <c r="Y20">
        <f t="shared" si="1"/>
        <v>0.45153868277250508</v>
      </c>
      <c r="Z20">
        <f t="shared" si="17"/>
        <v>0</v>
      </c>
      <c r="AA20">
        <f t="shared" si="18"/>
        <v>0</v>
      </c>
      <c r="AB20">
        <f t="shared" si="13"/>
        <v>-0.42989604304063328</v>
      </c>
      <c r="AC20">
        <f t="shared" si="19"/>
        <v>0</v>
      </c>
      <c r="AD20">
        <f t="shared" si="20"/>
        <v>0</v>
      </c>
    </row>
    <row r="21" spans="1:30" x14ac:dyDescent="0.3">
      <c r="A21" s="1">
        <v>20</v>
      </c>
      <c r="B21" s="1">
        <v>4</v>
      </c>
      <c r="C21" s="1">
        <v>10.1</v>
      </c>
      <c r="D21" s="1">
        <f t="shared" si="14"/>
        <v>20.2</v>
      </c>
      <c r="E21" s="1">
        <f t="shared" si="0"/>
        <v>0</v>
      </c>
      <c r="F21" s="1">
        <f t="shared" si="15"/>
        <v>204.01999999999998</v>
      </c>
      <c r="G21" s="1">
        <f t="shared" si="2"/>
        <v>0</v>
      </c>
      <c r="H21" s="1">
        <v>9.9429999999999996</v>
      </c>
      <c r="I21" s="1">
        <v>0.34770000000000001</v>
      </c>
      <c r="J21" s="1"/>
      <c r="K21" s="1"/>
      <c r="L21" s="1"/>
      <c r="M21" s="1">
        <v>4.7699999999999996</v>
      </c>
      <c r="N21" s="1">
        <f t="shared" si="3"/>
        <v>1.6585289999999999</v>
      </c>
      <c r="O21">
        <f t="shared" si="4"/>
        <v>1.0400000000000045</v>
      </c>
      <c r="P21">
        <f t="shared" si="5"/>
        <v>3.4270000000000032</v>
      </c>
      <c r="Q21">
        <f t="shared" si="6"/>
        <v>2.3869999999999987</v>
      </c>
      <c r="R21">
        <f t="shared" si="7"/>
        <v>1.3830000000000044</v>
      </c>
      <c r="S21">
        <f t="shared" si="8"/>
        <v>1.0729999999999986</v>
      </c>
      <c r="T21">
        <f t="shared" si="9"/>
        <v>0</v>
      </c>
      <c r="U21">
        <f t="shared" si="10"/>
        <v>0</v>
      </c>
      <c r="V21">
        <f t="shared" si="16"/>
        <v>0</v>
      </c>
      <c r="W21">
        <f t="shared" si="11"/>
        <v>0</v>
      </c>
      <c r="X21">
        <f t="shared" si="12"/>
        <v>0</v>
      </c>
      <c r="Y21">
        <f t="shared" si="1"/>
        <v>0.45153868277250508</v>
      </c>
      <c r="Z21">
        <f t="shared" si="17"/>
        <v>0</v>
      </c>
      <c r="AA21">
        <f t="shared" si="18"/>
        <v>0</v>
      </c>
      <c r="AB21">
        <f t="shared" si="13"/>
        <v>-0.42989604304063328</v>
      </c>
      <c r="AC21">
        <f t="shared" si="19"/>
        <v>0</v>
      </c>
      <c r="AD21">
        <f t="shared" si="20"/>
        <v>0</v>
      </c>
    </row>
    <row r="22" spans="1:30" x14ac:dyDescent="0.3">
      <c r="A22" s="1">
        <v>21</v>
      </c>
      <c r="B22" s="1">
        <v>4</v>
      </c>
      <c r="C22" s="1">
        <v>10.1</v>
      </c>
      <c r="D22" s="1">
        <f t="shared" si="14"/>
        <v>30.299999999999997</v>
      </c>
      <c r="E22" s="1">
        <f t="shared" si="0"/>
        <v>0</v>
      </c>
      <c r="F22" s="1">
        <f t="shared" si="15"/>
        <v>306.02999999999997</v>
      </c>
      <c r="G22" s="1">
        <f t="shared" si="2"/>
        <v>0</v>
      </c>
      <c r="H22" s="1">
        <v>9.9429999999999996</v>
      </c>
      <c r="I22" s="1">
        <v>0.34770000000000001</v>
      </c>
      <c r="J22" s="1"/>
      <c r="K22" s="1"/>
      <c r="L22" s="1"/>
      <c r="M22" s="1">
        <v>4.7699999999999996</v>
      </c>
      <c r="N22" s="1">
        <f t="shared" si="3"/>
        <v>1.6585289999999999</v>
      </c>
      <c r="O22">
        <f t="shared" si="4"/>
        <v>1.1970000000000045</v>
      </c>
      <c r="P22">
        <f t="shared" si="5"/>
        <v>3.5840000000000032</v>
      </c>
      <c r="Q22">
        <f t="shared" si="6"/>
        <v>2.3869999999999987</v>
      </c>
      <c r="R22">
        <f t="shared" si="7"/>
        <v>1.5400000000000045</v>
      </c>
      <c r="S22">
        <f t="shared" si="8"/>
        <v>0.91599999999999859</v>
      </c>
      <c r="T22">
        <f t="shared" si="9"/>
        <v>0</v>
      </c>
      <c r="U22">
        <f t="shared" si="10"/>
        <v>0</v>
      </c>
      <c r="V22">
        <f t="shared" ref="V22:V85" si="21">IF(T22&gt;0,1+V21,0)</f>
        <v>0</v>
      </c>
      <c r="W22">
        <f t="shared" ref="W22:W85" si="22">IF(T22&gt;N22,$H$2+(T22/V22)+K22,0)</f>
        <v>0</v>
      </c>
      <c r="X22">
        <f t="shared" si="12"/>
        <v>0</v>
      </c>
      <c r="Y22">
        <f t="shared" si="1"/>
        <v>0.45153868277250508</v>
      </c>
      <c r="Z22">
        <f t="shared" ref="Z22:Z85" si="23">MAX(0,Y22-$K$2+Z21)</f>
        <v>0</v>
      </c>
      <c r="AA22">
        <f t="shared" ref="AA22:AA85" si="24">-MAX(0,-Y22-$K$2+AA21)</f>
        <v>0</v>
      </c>
      <c r="AB22">
        <f t="shared" ref="AB22:AB85" si="25">(SQRT(ABS(Y22))-0.822)/0.349</f>
        <v>-0.42989604304063328</v>
      </c>
      <c r="AC22">
        <f t="shared" ref="AC22:AC85" si="26">MAX(0,AB22-$K$2+AC21)</f>
        <v>0</v>
      </c>
      <c r="AD22">
        <f t="shared" ref="AD22:AD85" si="27">-MAX(0,-AB22-$K$2+AD21)</f>
        <v>0</v>
      </c>
    </row>
    <row r="23" spans="1:30" x14ac:dyDescent="0.3">
      <c r="A23" s="1">
        <v>22</v>
      </c>
      <c r="B23" s="1">
        <v>4</v>
      </c>
      <c r="C23" s="1">
        <v>10</v>
      </c>
      <c r="D23" s="1">
        <f t="shared" si="14"/>
        <v>40.299999999999997</v>
      </c>
      <c r="E23" s="1">
        <f t="shared" si="0"/>
        <v>0</v>
      </c>
      <c r="F23" s="1">
        <f t="shared" si="15"/>
        <v>406.03</v>
      </c>
      <c r="G23" s="1">
        <f t="shared" si="2"/>
        <v>0</v>
      </c>
      <c r="H23" s="1">
        <v>9.9429999999999996</v>
      </c>
      <c r="I23" s="1">
        <v>0.34770000000000001</v>
      </c>
      <c r="J23" s="1"/>
      <c r="K23" s="1"/>
      <c r="L23" s="1"/>
      <c r="M23" s="1">
        <v>4.7699999999999996</v>
      </c>
      <c r="N23" s="1">
        <f t="shared" si="3"/>
        <v>1.6585289999999999</v>
      </c>
      <c r="O23">
        <f t="shared" si="4"/>
        <v>1.2540000000000049</v>
      </c>
      <c r="P23">
        <f t="shared" si="5"/>
        <v>3.6410000000000036</v>
      </c>
      <c r="Q23">
        <f t="shared" si="6"/>
        <v>2.3869999999999987</v>
      </c>
      <c r="R23">
        <f t="shared" si="7"/>
        <v>1.5970000000000049</v>
      </c>
      <c r="S23">
        <f t="shared" si="8"/>
        <v>0.85899999999999821</v>
      </c>
      <c r="T23">
        <f t="shared" si="9"/>
        <v>0</v>
      </c>
      <c r="U23">
        <f t="shared" si="10"/>
        <v>0</v>
      </c>
      <c r="V23">
        <f t="shared" si="21"/>
        <v>0</v>
      </c>
      <c r="W23">
        <f t="shared" si="22"/>
        <v>0</v>
      </c>
      <c r="X23">
        <f t="shared" si="12"/>
        <v>0</v>
      </c>
      <c r="Y23">
        <f t="shared" si="1"/>
        <v>0.16393442622950929</v>
      </c>
      <c r="Z23">
        <f t="shared" si="23"/>
        <v>0</v>
      </c>
      <c r="AA23">
        <f t="shared" si="24"/>
        <v>0</v>
      </c>
      <c r="AB23">
        <f t="shared" si="25"/>
        <v>-1.1951628507465348</v>
      </c>
      <c r="AC23">
        <f t="shared" si="26"/>
        <v>0</v>
      </c>
      <c r="AD23">
        <f t="shared" si="27"/>
        <v>-0.69516285074653483</v>
      </c>
    </row>
    <row r="24" spans="1:30" x14ac:dyDescent="0.3">
      <c r="A24" s="1">
        <v>23</v>
      </c>
      <c r="B24" s="1">
        <v>4</v>
      </c>
      <c r="C24" s="1">
        <v>10.199999999999999</v>
      </c>
      <c r="D24" s="1">
        <f t="shared" si="14"/>
        <v>50.5</v>
      </c>
      <c r="E24" s="1">
        <f t="shared" si="0"/>
        <v>0</v>
      </c>
      <c r="F24" s="1">
        <f t="shared" si="15"/>
        <v>510.06999999999994</v>
      </c>
      <c r="G24" s="1">
        <f t="shared" si="2"/>
        <v>0</v>
      </c>
      <c r="H24" s="1">
        <v>9.9429999999999996</v>
      </c>
      <c r="I24" s="1">
        <v>0.34770000000000001</v>
      </c>
      <c r="J24" s="1"/>
      <c r="K24" s="1"/>
      <c r="L24" s="1"/>
      <c r="M24" s="1">
        <v>4.7699999999999996</v>
      </c>
      <c r="N24" s="1">
        <f t="shared" si="3"/>
        <v>1.6585289999999999</v>
      </c>
      <c r="O24">
        <f t="shared" si="4"/>
        <v>1.5110000000000046</v>
      </c>
      <c r="P24">
        <f t="shared" si="5"/>
        <v>3.8980000000000032</v>
      </c>
      <c r="Q24">
        <f t="shared" si="6"/>
        <v>2.3869999999999987</v>
      </c>
      <c r="R24">
        <f t="shared" si="7"/>
        <v>1.8540000000000045</v>
      </c>
      <c r="S24">
        <f t="shared" si="8"/>
        <v>0.60199999999999854</v>
      </c>
      <c r="T24">
        <f t="shared" si="9"/>
        <v>8.3149999999999669E-2</v>
      </c>
      <c r="U24">
        <f t="shared" si="10"/>
        <v>0</v>
      </c>
      <c r="V24">
        <f t="shared" si="21"/>
        <v>1</v>
      </c>
      <c r="W24">
        <f t="shared" si="22"/>
        <v>0</v>
      </c>
      <c r="X24">
        <f t="shared" si="12"/>
        <v>8.3149999999999669E-2</v>
      </c>
      <c r="Y24">
        <f t="shared" si="1"/>
        <v>0.7391429393155009</v>
      </c>
      <c r="Z24">
        <f t="shared" si="23"/>
        <v>0.2391429393155009</v>
      </c>
      <c r="AA24">
        <f t="shared" si="24"/>
        <v>0</v>
      </c>
      <c r="AB24">
        <f t="shared" si="25"/>
        <v>0.10812099133682511</v>
      </c>
      <c r="AC24">
        <f t="shared" si="26"/>
        <v>0</v>
      </c>
      <c r="AD24">
        <f t="shared" si="27"/>
        <v>0</v>
      </c>
    </row>
    <row r="25" spans="1:30" x14ac:dyDescent="0.3">
      <c r="A25" s="1">
        <v>24</v>
      </c>
      <c r="B25" s="1">
        <v>4</v>
      </c>
      <c r="C25" s="1">
        <v>10</v>
      </c>
      <c r="D25" s="1">
        <f t="shared" si="14"/>
        <v>60.5</v>
      </c>
      <c r="E25" s="1">
        <f t="shared" si="0"/>
        <v>10.083333333333334</v>
      </c>
      <c r="F25" s="1">
        <f t="shared" si="15"/>
        <v>610.06999999999994</v>
      </c>
      <c r="G25" s="1">
        <f t="shared" si="2"/>
        <v>5.6666666666387753E-3</v>
      </c>
      <c r="H25" s="1">
        <v>9.9429999999999996</v>
      </c>
      <c r="I25" s="1">
        <v>0.34770000000000001</v>
      </c>
      <c r="J25" s="1"/>
      <c r="K25" s="1"/>
      <c r="L25" s="1"/>
      <c r="M25" s="1">
        <v>4.7699999999999996</v>
      </c>
      <c r="N25" s="1">
        <f t="shared" si="3"/>
        <v>1.6585289999999999</v>
      </c>
      <c r="O25">
        <f t="shared" si="4"/>
        <v>1.5680000000000049</v>
      </c>
      <c r="P25">
        <f t="shared" si="5"/>
        <v>3.9550000000000036</v>
      </c>
      <c r="Q25">
        <f t="shared" si="6"/>
        <v>2.3869999999999987</v>
      </c>
      <c r="R25">
        <f t="shared" si="7"/>
        <v>1.9110000000000049</v>
      </c>
      <c r="S25">
        <f t="shared" si="8"/>
        <v>0.54499999999999815</v>
      </c>
      <c r="T25">
        <f t="shared" si="9"/>
        <v>0</v>
      </c>
      <c r="U25">
        <f t="shared" si="10"/>
        <v>0</v>
      </c>
      <c r="V25">
        <f t="shared" si="21"/>
        <v>0</v>
      </c>
      <c r="W25">
        <f t="shared" si="22"/>
        <v>0</v>
      </c>
      <c r="X25">
        <f t="shared" si="12"/>
        <v>0</v>
      </c>
      <c r="Y25">
        <f t="shared" si="1"/>
        <v>0.16393442622950929</v>
      </c>
      <c r="Z25">
        <f t="shared" si="23"/>
        <v>0</v>
      </c>
      <c r="AA25">
        <f t="shared" si="24"/>
        <v>0</v>
      </c>
      <c r="AB25">
        <f t="shared" si="25"/>
        <v>-1.1951628507465348</v>
      </c>
      <c r="AC25">
        <f t="shared" si="26"/>
        <v>0</v>
      </c>
      <c r="AD25">
        <f t="shared" si="27"/>
        <v>-0.69516285074653483</v>
      </c>
    </row>
    <row r="26" spans="1:30" x14ac:dyDescent="0.3">
      <c r="A26" s="1">
        <v>25</v>
      </c>
      <c r="B26" s="1">
        <v>5</v>
      </c>
      <c r="C26" s="1">
        <v>9.9</v>
      </c>
      <c r="D26" s="1">
        <f t="shared" si="14"/>
        <v>9.9</v>
      </c>
      <c r="E26" s="1">
        <f t="shared" si="0"/>
        <v>0</v>
      </c>
      <c r="F26" s="1">
        <f t="shared" si="15"/>
        <v>98.01</v>
      </c>
      <c r="G26" s="1">
        <f t="shared" si="2"/>
        <v>0</v>
      </c>
      <c r="H26" s="1">
        <v>9.9429999999999996</v>
      </c>
      <c r="I26" s="1">
        <v>0.34770000000000001</v>
      </c>
      <c r="M26" s="1">
        <v>4.7699999999999996</v>
      </c>
      <c r="N26" s="1">
        <f t="shared" si="3"/>
        <v>1.6585289999999999</v>
      </c>
      <c r="O26">
        <f t="shared" si="4"/>
        <v>1.5250000000000057</v>
      </c>
      <c r="P26">
        <f t="shared" si="5"/>
        <v>3.9550000000000036</v>
      </c>
      <c r="Q26">
        <f t="shared" si="6"/>
        <v>2.4299999999999979</v>
      </c>
      <c r="R26">
        <f t="shared" si="7"/>
        <v>1.8680000000000057</v>
      </c>
      <c r="S26">
        <f t="shared" si="8"/>
        <v>0.58799999999999741</v>
      </c>
      <c r="T26">
        <f t="shared" si="9"/>
        <v>0</v>
      </c>
      <c r="U26">
        <f t="shared" si="10"/>
        <v>0</v>
      </c>
      <c r="V26">
        <f t="shared" si="21"/>
        <v>0</v>
      </c>
      <c r="W26">
        <f t="shared" si="22"/>
        <v>0</v>
      </c>
      <c r="X26">
        <f t="shared" si="12"/>
        <v>0</v>
      </c>
      <c r="Y26">
        <f t="shared" si="1"/>
        <v>-0.12366983031348651</v>
      </c>
      <c r="Z26">
        <f t="shared" si="23"/>
        <v>0</v>
      </c>
      <c r="AA26">
        <f t="shared" si="24"/>
        <v>0</v>
      </c>
      <c r="AB26">
        <f t="shared" si="25"/>
        <v>-1.3476584088962507</v>
      </c>
      <c r="AC26">
        <f t="shared" si="26"/>
        <v>0</v>
      </c>
      <c r="AD26">
        <f t="shared" si="27"/>
        <v>-0.15249555814971583</v>
      </c>
    </row>
    <row r="27" spans="1:30" x14ac:dyDescent="0.3">
      <c r="A27" s="1">
        <v>26</v>
      </c>
      <c r="B27" s="1">
        <v>5</v>
      </c>
      <c r="C27" s="1">
        <v>9.6999999999999993</v>
      </c>
      <c r="D27" s="1">
        <f t="shared" si="14"/>
        <v>19.600000000000001</v>
      </c>
      <c r="E27" s="1">
        <f t="shared" si="0"/>
        <v>0</v>
      </c>
      <c r="F27" s="1">
        <f t="shared" si="15"/>
        <v>192.1</v>
      </c>
      <c r="G27" s="1">
        <f t="shared" si="2"/>
        <v>0</v>
      </c>
      <c r="H27" s="1">
        <v>9.9429999999999996</v>
      </c>
      <c r="I27" s="1">
        <v>0.34770000000000001</v>
      </c>
      <c r="M27" s="1">
        <v>4.7699999999999996</v>
      </c>
      <c r="N27" s="1">
        <f t="shared" si="3"/>
        <v>1.6585289999999999</v>
      </c>
      <c r="O27">
        <f t="shared" si="4"/>
        <v>1.2820000000000054</v>
      </c>
      <c r="P27">
        <f t="shared" si="5"/>
        <v>3.9550000000000036</v>
      </c>
      <c r="Q27">
        <f t="shared" si="6"/>
        <v>2.6729999999999983</v>
      </c>
      <c r="R27">
        <f t="shared" si="7"/>
        <v>1.6250000000000053</v>
      </c>
      <c r="S27">
        <f t="shared" si="8"/>
        <v>0.83099999999999774</v>
      </c>
      <c r="T27">
        <f t="shared" si="9"/>
        <v>0</v>
      </c>
      <c r="U27">
        <f t="shared" si="10"/>
        <v>6.9150000000000322E-2</v>
      </c>
      <c r="V27">
        <f t="shared" si="21"/>
        <v>0</v>
      </c>
      <c r="W27">
        <f t="shared" si="22"/>
        <v>0</v>
      </c>
      <c r="X27">
        <f t="shared" si="12"/>
        <v>0</v>
      </c>
      <c r="Y27">
        <f t="shared" si="1"/>
        <v>-0.69887834339948318</v>
      </c>
      <c r="Z27">
        <f t="shared" si="23"/>
        <v>0</v>
      </c>
      <c r="AA27">
        <f t="shared" si="24"/>
        <v>-0.19887834339948318</v>
      </c>
      <c r="AB27">
        <f t="shared" si="25"/>
        <v>4.0084354629023308E-2</v>
      </c>
      <c r="AC27">
        <f t="shared" si="26"/>
        <v>0</v>
      </c>
      <c r="AD27">
        <f t="shared" si="27"/>
        <v>0</v>
      </c>
    </row>
    <row r="28" spans="1:30" x14ac:dyDescent="0.3">
      <c r="A28" s="1">
        <v>27</v>
      </c>
      <c r="B28" s="1">
        <v>5</v>
      </c>
      <c r="C28" s="1">
        <v>9.9</v>
      </c>
      <c r="D28" s="1">
        <f t="shared" si="14"/>
        <v>29.5</v>
      </c>
      <c r="E28" s="1">
        <f t="shared" si="0"/>
        <v>0</v>
      </c>
      <c r="F28" s="1">
        <f t="shared" si="15"/>
        <v>290.11</v>
      </c>
      <c r="G28" s="1">
        <f t="shared" si="2"/>
        <v>0</v>
      </c>
      <c r="H28" s="1">
        <v>9.9429999999999996</v>
      </c>
      <c r="I28" s="1">
        <v>0.34770000000000001</v>
      </c>
      <c r="M28" s="1">
        <v>4.7699999999999996</v>
      </c>
      <c r="N28" s="1">
        <f t="shared" si="3"/>
        <v>1.6585289999999999</v>
      </c>
      <c r="O28">
        <f t="shared" si="4"/>
        <v>1.2390000000000061</v>
      </c>
      <c r="P28">
        <f t="shared" si="5"/>
        <v>3.9550000000000036</v>
      </c>
      <c r="Q28">
        <f t="shared" si="6"/>
        <v>2.7159999999999975</v>
      </c>
      <c r="R28">
        <f t="shared" si="7"/>
        <v>1.5820000000000061</v>
      </c>
      <c r="S28">
        <f t="shared" si="8"/>
        <v>0.873999999999997</v>
      </c>
      <c r="T28">
        <f t="shared" si="9"/>
        <v>0</v>
      </c>
      <c r="U28">
        <f t="shared" si="10"/>
        <v>0</v>
      </c>
      <c r="V28">
        <f t="shared" si="21"/>
        <v>0</v>
      </c>
      <c r="W28">
        <f t="shared" si="22"/>
        <v>0</v>
      </c>
      <c r="X28">
        <f t="shared" si="12"/>
        <v>0</v>
      </c>
      <c r="Y28">
        <f t="shared" si="1"/>
        <v>-0.12366983031348651</v>
      </c>
      <c r="Z28">
        <f t="shared" si="23"/>
        <v>0</v>
      </c>
      <c r="AA28">
        <f t="shared" si="24"/>
        <v>0</v>
      </c>
      <c r="AB28">
        <f t="shared" si="25"/>
        <v>-1.3476584088962507</v>
      </c>
      <c r="AC28">
        <f t="shared" si="26"/>
        <v>0</v>
      </c>
      <c r="AD28">
        <f t="shared" si="27"/>
        <v>-0.84765840889625066</v>
      </c>
    </row>
    <row r="29" spans="1:30" x14ac:dyDescent="0.3">
      <c r="A29" s="1">
        <v>28</v>
      </c>
      <c r="B29" s="1">
        <v>5</v>
      </c>
      <c r="C29" s="1">
        <v>10.5</v>
      </c>
      <c r="D29" s="1">
        <f t="shared" si="14"/>
        <v>40</v>
      </c>
      <c r="E29" s="1">
        <f t="shared" si="0"/>
        <v>0</v>
      </c>
      <c r="F29" s="1">
        <f t="shared" si="15"/>
        <v>400.36</v>
      </c>
      <c r="G29" s="1">
        <f t="shared" si="2"/>
        <v>0</v>
      </c>
      <c r="H29" s="1">
        <v>9.9429999999999996</v>
      </c>
      <c r="I29" s="1">
        <v>0.34770000000000001</v>
      </c>
      <c r="M29" s="1">
        <v>4.7699999999999996</v>
      </c>
      <c r="N29" s="1">
        <f t="shared" si="3"/>
        <v>1.6585289999999999</v>
      </c>
      <c r="O29">
        <f t="shared" si="4"/>
        <v>1.7960000000000065</v>
      </c>
      <c r="P29">
        <f t="shared" si="5"/>
        <v>4.512000000000004</v>
      </c>
      <c r="Q29">
        <f t="shared" si="6"/>
        <v>2.7159999999999975</v>
      </c>
      <c r="R29">
        <f t="shared" si="7"/>
        <v>2.1390000000000065</v>
      </c>
      <c r="S29">
        <f t="shared" si="8"/>
        <v>0.31699999999999662</v>
      </c>
      <c r="T29">
        <f t="shared" si="9"/>
        <v>0.38315000000000038</v>
      </c>
      <c r="U29">
        <f t="shared" si="10"/>
        <v>0</v>
      </c>
      <c r="V29">
        <f t="shared" si="21"/>
        <v>1</v>
      </c>
      <c r="W29">
        <f t="shared" si="22"/>
        <v>0</v>
      </c>
      <c r="X29">
        <f t="shared" si="12"/>
        <v>0.38315000000000038</v>
      </c>
      <c r="Y29">
        <f t="shared" si="1"/>
        <v>1.6019557089444934</v>
      </c>
      <c r="Z29">
        <f t="shared" si="23"/>
        <v>1.1019557089444934</v>
      </c>
      <c r="AA29">
        <f t="shared" si="24"/>
        <v>0</v>
      </c>
      <c r="AB29">
        <f t="shared" si="25"/>
        <v>1.2713005438907443</v>
      </c>
      <c r="AC29">
        <f t="shared" si="26"/>
        <v>0.77130054389074432</v>
      </c>
      <c r="AD29">
        <f t="shared" si="27"/>
        <v>0</v>
      </c>
    </row>
    <row r="30" spans="1:30" x14ac:dyDescent="0.3">
      <c r="A30" s="1">
        <v>29</v>
      </c>
      <c r="B30" s="1">
        <v>5</v>
      </c>
      <c r="C30" s="1">
        <v>10.3</v>
      </c>
      <c r="D30" s="1">
        <f t="shared" si="14"/>
        <v>50.3</v>
      </c>
      <c r="E30" s="1">
        <f t="shared" si="0"/>
        <v>0</v>
      </c>
      <c r="F30" s="1">
        <f t="shared" si="15"/>
        <v>506.45000000000005</v>
      </c>
      <c r="G30" s="1">
        <f t="shared" si="2"/>
        <v>0</v>
      </c>
      <c r="H30" s="1">
        <v>9.9429999999999996</v>
      </c>
      <c r="I30" s="1">
        <v>0.34770000000000001</v>
      </c>
      <c r="M30" s="1">
        <v>4.7699999999999996</v>
      </c>
      <c r="N30" s="1">
        <f t="shared" si="3"/>
        <v>1.6585289999999999</v>
      </c>
      <c r="O30">
        <f t="shared" si="4"/>
        <v>2.1530000000000076</v>
      </c>
      <c r="P30">
        <f t="shared" si="5"/>
        <v>4.8690000000000051</v>
      </c>
      <c r="Q30">
        <f t="shared" si="6"/>
        <v>2.7159999999999975</v>
      </c>
      <c r="R30">
        <f t="shared" si="7"/>
        <v>2.4960000000000075</v>
      </c>
      <c r="S30">
        <f t="shared" si="8"/>
        <v>0</v>
      </c>
      <c r="T30">
        <f t="shared" si="9"/>
        <v>0.56630000000000147</v>
      </c>
      <c r="U30">
        <f t="shared" si="10"/>
        <v>0</v>
      </c>
      <c r="V30">
        <f t="shared" si="21"/>
        <v>2</v>
      </c>
      <c r="W30">
        <f t="shared" si="22"/>
        <v>0</v>
      </c>
      <c r="X30">
        <f t="shared" si="12"/>
        <v>0.56630000000000147</v>
      </c>
      <c r="Y30">
        <f t="shared" si="1"/>
        <v>1.0267471958585017</v>
      </c>
      <c r="Z30">
        <f t="shared" si="23"/>
        <v>1.6287029048029951</v>
      </c>
      <c r="AA30">
        <f t="shared" si="24"/>
        <v>0</v>
      </c>
      <c r="AB30">
        <f t="shared" si="25"/>
        <v>0.54809555214191641</v>
      </c>
      <c r="AC30">
        <f t="shared" si="26"/>
        <v>0.81939609603266073</v>
      </c>
      <c r="AD30">
        <f t="shared" si="27"/>
        <v>0</v>
      </c>
    </row>
    <row r="31" spans="1:30" x14ac:dyDescent="0.3">
      <c r="A31" s="1">
        <v>30</v>
      </c>
      <c r="B31" s="1">
        <v>5</v>
      </c>
      <c r="C31" s="1">
        <v>10.1</v>
      </c>
      <c r="D31" s="1">
        <f t="shared" si="14"/>
        <v>60.4</v>
      </c>
      <c r="E31" s="1">
        <f t="shared" si="0"/>
        <v>10.066666666666666</v>
      </c>
      <c r="F31" s="1">
        <f t="shared" si="15"/>
        <v>608.46</v>
      </c>
      <c r="G31" s="1">
        <f t="shared" si="2"/>
        <v>8.6666666666678799E-2</v>
      </c>
      <c r="H31" s="1">
        <v>9.9429999999999996</v>
      </c>
      <c r="I31" s="1">
        <v>0.34770000000000001</v>
      </c>
      <c r="M31" s="1">
        <v>4.7699999999999996</v>
      </c>
      <c r="N31" s="1">
        <f t="shared" si="3"/>
        <v>1.6585289999999999</v>
      </c>
      <c r="O31">
        <f t="shared" si="4"/>
        <v>2.3100000000000076</v>
      </c>
      <c r="P31">
        <f t="shared" si="5"/>
        <v>5.0260000000000051</v>
      </c>
      <c r="Q31">
        <f t="shared" si="6"/>
        <v>2.7159999999999975</v>
      </c>
      <c r="R31">
        <f t="shared" si="7"/>
        <v>2.6530000000000076</v>
      </c>
      <c r="S31">
        <f t="shared" si="8"/>
        <v>0</v>
      </c>
      <c r="T31">
        <f t="shared" si="9"/>
        <v>0.54945000000000155</v>
      </c>
      <c r="U31">
        <f t="shared" si="10"/>
        <v>0</v>
      </c>
      <c r="V31">
        <f t="shared" si="21"/>
        <v>3</v>
      </c>
      <c r="W31">
        <f t="shared" si="22"/>
        <v>0</v>
      </c>
      <c r="X31">
        <f t="shared" si="12"/>
        <v>0.54945000000000155</v>
      </c>
      <c r="Y31">
        <f t="shared" si="1"/>
        <v>0.45153868277250508</v>
      </c>
      <c r="Z31">
        <f t="shared" si="23"/>
        <v>1.5802415875755003</v>
      </c>
      <c r="AA31">
        <f t="shared" si="24"/>
        <v>0</v>
      </c>
      <c r="AB31">
        <f t="shared" si="25"/>
        <v>-0.42989604304063328</v>
      </c>
      <c r="AC31">
        <f t="shared" si="26"/>
        <v>0</v>
      </c>
      <c r="AD31">
        <f t="shared" si="27"/>
        <v>0</v>
      </c>
    </row>
    <row r="32" spans="1:30" x14ac:dyDescent="0.3">
      <c r="A32" s="1">
        <v>31</v>
      </c>
      <c r="B32" s="1">
        <v>6</v>
      </c>
      <c r="C32" s="1">
        <v>9.6999999999999993</v>
      </c>
      <c r="D32" s="1">
        <f t="shared" si="14"/>
        <v>9.6999999999999993</v>
      </c>
      <c r="E32" s="1">
        <f t="shared" si="0"/>
        <v>0</v>
      </c>
      <c r="F32" s="1">
        <f t="shared" si="15"/>
        <v>94.089999999999989</v>
      </c>
      <c r="G32" s="1">
        <f t="shared" si="2"/>
        <v>0</v>
      </c>
      <c r="H32" s="1">
        <v>9.9429999999999996</v>
      </c>
      <c r="I32" s="1">
        <v>0.34770000000000001</v>
      </c>
      <c r="M32" s="1">
        <v>4.7699999999999996</v>
      </c>
      <c r="N32" s="1">
        <f t="shared" si="3"/>
        <v>1.6585289999999999</v>
      </c>
      <c r="O32">
        <f t="shared" si="4"/>
        <v>2.0670000000000073</v>
      </c>
      <c r="P32">
        <f t="shared" si="5"/>
        <v>5.0260000000000051</v>
      </c>
      <c r="Q32">
        <f t="shared" si="6"/>
        <v>2.9589999999999979</v>
      </c>
      <c r="R32">
        <f t="shared" si="7"/>
        <v>2.4100000000000072</v>
      </c>
      <c r="S32">
        <f t="shared" si="8"/>
        <v>0.24300000000000033</v>
      </c>
      <c r="T32">
        <f t="shared" si="9"/>
        <v>0.13260000000000122</v>
      </c>
      <c r="U32">
        <f t="shared" si="10"/>
        <v>6.9150000000000322E-2</v>
      </c>
      <c r="V32">
        <f t="shared" si="21"/>
        <v>4</v>
      </c>
      <c r="W32">
        <f t="shared" si="22"/>
        <v>0</v>
      </c>
      <c r="X32">
        <f t="shared" si="12"/>
        <v>0.13260000000000122</v>
      </c>
      <c r="Y32">
        <f t="shared" si="1"/>
        <v>-0.69887834339948318</v>
      </c>
      <c r="Z32">
        <f t="shared" si="23"/>
        <v>0.38136324417601708</v>
      </c>
      <c r="AA32">
        <f t="shared" si="24"/>
        <v>-0.19887834339948318</v>
      </c>
      <c r="AB32">
        <f t="shared" si="25"/>
        <v>4.0084354629023308E-2</v>
      </c>
      <c r="AC32">
        <f t="shared" si="26"/>
        <v>0</v>
      </c>
      <c r="AD32">
        <f t="shared" si="27"/>
        <v>0</v>
      </c>
    </row>
    <row r="33" spans="1:30" x14ac:dyDescent="0.3">
      <c r="A33" s="1">
        <v>32</v>
      </c>
      <c r="B33" s="1">
        <v>6</v>
      </c>
      <c r="C33" s="1">
        <v>10.3</v>
      </c>
      <c r="D33" s="1">
        <f t="shared" si="14"/>
        <v>20</v>
      </c>
      <c r="E33" s="1">
        <f t="shared" si="0"/>
        <v>0</v>
      </c>
      <c r="F33" s="1">
        <f t="shared" si="15"/>
        <v>200.18</v>
      </c>
      <c r="G33" s="1">
        <f t="shared" si="2"/>
        <v>0</v>
      </c>
      <c r="H33" s="1">
        <v>9.9429999999999996</v>
      </c>
      <c r="I33" s="1">
        <v>0.34770000000000001</v>
      </c>
      <c r="M33" s="1">
        <v>4.7699999999999996</v>
      </c>
      <c r="N33" s="1">
        <f t="shared" si="3"/>
        <v>1.6585289999999999</v>
      </c>
      <c r="O33">
        <f t="shared" si="4"/>
        <v>2.4240000000000084</v>
      </c>
      <c r="P33">
        <f t="shared" si="5"/>
        <v>5.3830000000000062</v>
      </c>
      <c r="Q33">
        <f t="shared" si="6"/>
        <v>2.9589999999999979</v>
      </c>
      <c r="R33">
        <f t="shared" si="7"/>
        <v>2.7670000000000083</v>
      </c>
      <c r="S33">
        <f t="shared" si="8"/>
        <v>0</v>
      </c>
      <c r="T33">
        <f t="shared" si="9"/>
        <v>0.31575000000000231</v>
      </c>
      <c r="U33">
        <f t="shared" si="10"/>
        <v>0</v>
      </c>
      <c r="V33">
        <f t="shared" si="21"/>
        <v>5</v>
      </c>
      <c r="W33">
        <f t="shared" si="22"/>
        <v>0</v>
      </c>
      <c r="X33">
        <f t="shared" si="12"/>
        <v>0.31575000000000231</v>
      </c>
      <c r="Y33">
        <f t="shared" si="1"/>
        <v>1.0267471958585017</v>
      </c>
      <c r="Z33">
        <f t="shared" si="23"/>
        <v>0.9081104400345188</v>
      </c>
      <c r="AA33">
        <f t="shared" si="24"/>
        <v>0</v>
      </c>
      <c r="AB33">
        <f t="shared" si="25"/>
        <v>0.54809555214191641</v>
      </c>
      <c r="AC33">
        <f t="shared" si="26"/>
        <v>4.8095552141916409E-2</v>
      </c>
      <c r="AD33">
        <f t="shared" si="27"/>
        <v>0</v>
      </c>
    </row>
    <row r="34" spans="1:30" x14ac:dyDescent="0.3">
      <c r="A34" s="1">
        <v>33</v>
      </c>
      <c r="B34" s="1">
        <v>6</v>
      </c>
      <c r="C34" s="1">
        <v>9.9</v>
      </c>
      <c r="D34" s="1">
        <f t="shared" si="14"/>
        <v>29.9</v>
      </c>
      <c r="E34" s="1">
        <f t="shared" si="0"/>
        <v>0</v>
      </c>
      <c r="F34" s="1">
        <f t="shared" si="15"/>
        <v>298.19</v>
      </c>
      <c r="G34" s="1">
        <f t="shared" si="2"/>
        <v>0</v>
      </c>
      <c r="H34" s="1">
        <v>9.9429999999999996</v>
      </c>
      <c r="I34" s="1">
        <v>0.34770000000000001</v>
      </c>
      <c r="M34" s="1">
        <v>4.7699999999999996</v>
      </c>
      <c r="N34" s="1">
        <f t="shared" si="3"/>
        <v>1.6585289999999999</v>
      </c>
      <c r="O34">
        <f t="shared" si="4"/>
        <v>2.3810000000000091</v>
      </c>
      <c r="P34">
        <f t="shared" si="5"/>
        <v>5.3830000000000062</v>
      </c>
      <c r="Q34">
        <f t="shared" si="6"/>
        <v>3.0019999999999971</v>
      </c>
      <c r="R34">
        <f t="shared" si="7"/>
        <v>2.7240000000000091</v>
      </c>
      <c r="S34">
        <f t="shared" si="8"/>
        <v>4.2999999999999261E-2</v>
      </c>
      <c r="T34">
        <f t="shared" si="9"/>
        <v>9.8900000000003041E-2</v>
      </c>
      <c r="U34">
        <f t="shared" si="10"/>
        <v>0</v>
      </c>
      <c r="V34">
        <f t="shared" si="21"/>
        <v>6</v>
      </c>
      <c r="W34">
        <f t="shared" si="22"/>
        <v>0</v>
      </c>
      <c r="X34">
        <f t="shared" si="12"/>
        <v>9.8900000000003041E-2</v>
      </c>
      <c r="Y34">
        <f t="shared" ref="Y34:Y65" si="28">(C34-$H$2)/$I$2</f>
        <v>-0.12366983031348651</v>
      </c>
      <c r="Z34">
        <f t="shared" si="23"/>
        <v>0.28444060972103224</v>
      </c>
      <c r="AA34">
        <f t="shared" si="24"/>
        <v>0</v>
      </c>
      <c r="AB34">
        <f t="shared" si="25"/>
        <v>-1.3476584088962507</v>
      </c>
      <c r="AC34">
        <f t="shared" si="26"/>
        <v>0</v>
      </c>
      <c r="AD34">
        <f t="shared" si="27"/>
        <v>-0.84765840889625066</v>
      </c>
    </row>
    <row r="35" spans="1:30" x14ac:dyDescent="0.3">
      <c r="A35" s="1">
        <v>34</v>
      </c>
      <c r="B35" s="1">
        <v>6</v>
      </c>
      <c r="C35" s="1">
        <v>10.1</v>
      </c>
      <c r="D35" s="1">
        <f t="shared" si="14"/>
        <v>40</v>
      </c>
      <c r="E35" s="1">
        <f t="shared" si="0"/>
        <v>0</v>
      </c>
      <c r="F35" s="1">
        <f t="shared" si="15"/>
        <v>400.2</v>
      </c>
      <c r="G35" s="1">
        <f t="shared" si="2"/>
        <v>0</v>
      </c>
      <c r="H35" s="1">
        <v>9.9429999999999996</v>
      </c>
      <c r="I35" s="1">
        <v>0.34770000000000001</v>
      </c>
      <c r="M35" s="1">
        <v>4.7699999999999996</v>
      </c>
      <c r="N35" s="1">
        <f t="shared" si="3"/>
        <v>1.6585289999999999</v>
      </c>
      <c r="O35">
        <f t="shared" ref="O35:O66" si="29">C35-$H$2+O34</f>
        <v>2.5380000000000091</v>
      </c>
      <c r="P35">
        <f t="shared" ref="P35:P66" si="30">MAX(0,($C35-$H$2))+P34</f>
        <v>5.5400000000000063</v>
      </c>
      <c r="Q35">
        <f t="shared" ref="Q35:Q66" si="31">MAX(0,($H$2-$C35))+Q34</f>
        <v>3.0019999999999971</v>
      </c>
      <c r="R35">
        <f t="shared" ref="R35:R66" si="32">MAX(0,($C35-$H$2+R34))</f>
        <v>2.8810000000000091</v>
      </c>
      <c r="S35">
        <f t="shared" ref="S35:S66" si="33">MAX(0,($H$2-$C35+S34))</f>
        <v>0</v>
      </c>
      <c r="T35">
        <f t="shared" ref="T35:T66" si="34">MAX(0,($C35-$H$2-$L$2+T34))</f>
        <v>8.2050000000003065E-2</v>
      </c>
      <c r="U35">
        <f t="shared" ref="U35:U66" si="35">MAX(0,($H$2-$C35-$L$2+U34))</f>
        <v>0</v>
      </c>
      <c r="V35">
        <f t="shared" si="21"/>
        <v>7</v>
      </c>
      <c r="W35">
        <f t="shared" si="22"/>
        <v>0</v>
      </c>
      <c r="X35">
        <f t="shared" ref="X35:X66" si="36">MAX(0,($C35-$H$2-$L$2+X34))</f>
        <v>8.2050000000003065E-2</v>
      </c>
      <c r="Y35">
        <f t="shared" si="28"/>
        <v>0.45153868277250508</v>
      </c>
      <c r="Z35">
        <f t="shared" si="23"/>
        <v>0.23597929249353733</v>
      </c>
      <c r="AA35">
        <f t="shared" si="24"/>
        <v>0</v>
      </c>
      <c r="AB35">
        <f t="shared" si="25"/>
        <v>-0.42989604304063328</v>
      </c>
      <c r="AC35">
        <f t="shared" si="26"/>
        <v>0</v>
      </c>
      <c r="AD35">
        <f t="shared" si="27"/>
        <v>0</v>
      </c>
    </row>
    <row r="36" spans="1:30" x14ac:dyDescent="0.3">
      <c r="A36" s="1">
        <v>35</v>
      </c>
      <c r="B36" s="1">
        <v>6</v>
      </c>
      <c r="C36" s="1">
        <v>10</v>
      </c>
      <c r="D36" s="1">
        <f t="shared" si="14"/>
        <v>50</v>
      </c>
      <c r="E36" s="1">
        <f t="shared" si="0"/>
        <v>0</v>
      </c>
      <c r="F36" s="1">
        <f t="shared" si="15"/>
        <v>500.2</v>
      </c>
      <c r="G36" s="1">
        <f t="shared" si="2"/>
        <v>0</v>
      </c>
      <c r="H36" s="1">
        <v>9.9429999999999996</v>
      </c>
      <c r="I36" s="1">
        <v>0.34770000000000001</v>
      </c>
      <c r="M36" s="1">
        <v>4.7699999999999996</v>
      </c>
      <c r="N36" s="1">
        <f t="shared" si="3"/>
        <v>1.6585289999999999</v>
      </c>
      <c r="O36">
        <f t="shared" si="29"/>
        <v>2.5950000000000095</v>
      </c>
      <c r="P36">
        <f t="shared" si="30"/>
        <v>5.5970000000000066</v>
      </c>
      <c r="Q36">
        <f t="shared" si="31"/>
        <v>3.0019999999999971</v>
      </c>
      <c r="R36">
        <f t="shared" si="32"/>
        <v>2.9380000000000095</v>
      </c>
      <c r="S36">
        <f t="shared" si="33"/>
        <v>0</v>
      </c>
      <c r="T36">
        <f t="shared" si="34"/>
        <v>0</v>
      </c>
      <c r="U36">
        <f t="shared" si="35"/>
        <v>0</v>
      </c>
      <c r="V36">
        <f t="shared" si="21"/>
        <v>0</v>
      </c>
      <c r="W36">
        <f t="shared" si="22"/>
        <v>0</v>
      </c>
      <c r="X36">
        <f t="shared" si="36"/>
        <v>0</v>
      </c>
      <c r="Y36">
        <f t="shared" si="28"/>
        <v>0.16393442622950929</v>
      </c>
      <c r="Z36">
        <f t="shared" si="23"/>
        <v>0</v>
      </c>
      <c r="AA36">
        <f t="shared" si="24"/>
        <v>0</v>
      </c>
      <c r="AB36">
        <f t="shared" si="25"/>
        <v>-1.1951628507465348</v>
      </c>
      <c r="AC36">
        <f t="shared" si="26"/>
        <v>0</v>
      </c>
      <c r="AD36">
        <f t="shared" si="27"/>
        <v>-0.69516285074653483</v>
      </c>
    </row>
    <row r="37" spans="1:30" x14ac:dyDescent="0.3">
      <c r="A37" s="1">
        <v>36</v>
      </c>
      <c r="B37" s="1">
        <v>6</v>
      </c>
      <c r="C37" s="1">
        <v>8.9</v>
      </c>
      <c r="D37" s="1">
        <f t="shared" si="14"/>
        <v>58.9</v>
      </c>
      <c r="E37" s="1">
        <f t="shared" si="0"/>
        <v>9.8166666666666664</v>
      </c>
      <c r="F37" s="1">
        <f t="shared" si="15"/>
        <v>579.41</v>
      </c>
      <c r="G37" s="1">
        <f t="shared" si="2"/>
        <v>0.24166666666667425</v>
      </c>
      <c r="H37" s="1">
        <v>9.9429999999999996</v>
      </c>
      <c r="I37" s="1">
        <v>0.34770000000000001</v>
      </c>
      <c r="M37" s="1">
        <v>4.7699999999999996</v>
      </c>
      <c r="N37" s="1">
        <f t="shared" si="3"/>
        <v>1.6585289999999999</v>
      </c>
      <c r="O37">
        <f t="shared" si="29"/>
        <v>1.5520000000000103</v>
      </c>
      <c r="P37">
        <f t="shared" si="30"/>
        <v>5.5970000000000066</v>
      </c>
      <c r="Q37">
        <f t="shared" si="31"/>
        <v>4.0449999999999964</v>
      </c>
      <c r="R37">
        <f t="shared" si="32"/>
        <v>1.8950000000000102</v>
      </c>
      <c r="S37">
        <f t="shared" si="33"/>
        <v>1.0429999999999993</v>
      </c>
      <c r="T37">
        <f t="shared" si="34"/>
        <v>0</v>
      </c>
      <c r="U37">
        <f t="shared" si="35"/>
        <v>0.8691499999999992</v>
      </c>
      <c r="V37">
        <f t="shared" si="21"/>
        <v>0</v>
      </c>
      <c r="W37">
        <f t="shared" si="22"/>
        <v>0</v>
      </c>
      <c r="X37">
        <f t="shared" si="36"/>
        <v>0</v>
      </c>
      <c r="Y37">
        <f t="shared" si="28"/>
        <v>-2.9997123957434546</v>
      </c>
      <c r="Z37">
        <f t="shared" si="23"/>
        <v>0</v>
      </c>
      <c r="AA37">
        <f t="shared" si="24"/>
        <v>-2.4997123957434546</v>
      </c>
      <c r="AB37">
        <f t="shared" si="25"/>
        <v>2.6073575397749886</v>
      </c>
      <c r="AC37">
        <f t="shared" si="26"/>
        <v>2.1073575397749886</v>
      </c>
      <c r="AD37">
        <f t="shared" si="27"/>
        <v>0</v>
      </c>
    </row>
    <row r="38" spans="1:30" x14ac:dyDescent="0.3">
      <c r="A38" s="1">
        <v>37</v>
      </c>
      <c r="B38" s="1">
        <v>7</v>
      </c>
      <c r="C38" s="1">
        <v>10.5</v>
      </c>
      <c r="D38" s="1">
        <f t="shared" si="14"/>
        <v>10.5</v>
      </c>
      <c r="E38" s="1">
        <f t="shared" si="0"/>
        <v>0</v>
      </c>
      <c r="F38" s="1">
        <f t="shared" si="15"/>
        <v>110.25</v>
      </c>
      <c r="G38" s="1">
        <f t="shared" si="2"/>
        <v>0</v>
      </c>
      <c r="H38" s="1">
        <v>9.9429999999999996</v>
      </c>
      <c r="I38" s="1">
        <v>0.34770000000000001</v>
      </c>
      <c r="M38" s="1">
        <v>4.7699999999999996</v>
      </c>
      <c r="N38" s="1">
        <f t="shared" si="3"/>
        <v>1.6585289999999999</v>
      </c>
      <c r="O38">
        <f t="shared" si="29"/>
        <v>2.1090000000000106</v>
      </c>
      <c r="P38">
        <f t="shared" si="30"/>
        <v>6.154000000000007</v>
      </c>
      <c r="Q38">
        <f t="shared" si="31"/>
        <v>4.0449999999999964</v>
      </c>
      <c r="R38">
        <f t="shared" si="32"/>
        <v>2.4520000000000106</v>
      </c>
      <c r="S38">
        <f t="shared" si="33"/>
        <v>0.48599999999999888</v>
      </c>
      <c r="T38">
        <f t="shared" si="34"/>
        <v>0.38315000000000038</v>
      </c>
      <c r="U38">
        <f t="shared" si="35"/>
        <v>0.13829999999999876</v>
      </c>
      <c r="V38">
        <f t="shared" si="21"/>
        <v>1</v>
      </c>
      <c r="W38">
        <f t="shared" si="22"/>
        <v>0</v>
      </c>
      <c r="X38">
        <f t="shared" si="36"/>
        <v>0.38315000000000038</v>
      </c>
      <c r="Y38">
        <f t="shared" si="28"/>
        <v>1.6019557089444934</v>
      </c>
      <c r="Z38">
        <f t="shared" si="23"/>
        <v>1.1019557089444934</v>
      </c>
      <c r="AA38">
        <f t="shared" si="24"/>
        <v>0</v>
      </c>
      <c r="AB38">
        <f t="shared" si="25"/>
        <v>1.2713005438907443</v>
      </c>
      <c r="AC38">
        <f t="shared" si="26"/>
        <v>2.8786580836657327</v>
      </c>
      <c r="AD38">
        <f t="shared" si="27"/>
        <v>0</v>
      </c>
    </row>
    <row r="39" spans="1:30" x14ac:dyDescent="0.3">
      <c r="A39" s="1">
        <v>38</v>
      </c>
      <c r="B39" s="1">
        <v>7</v>
      </c>
      <c r="C39" s="1">
        <v>9.4</v>
      </c>
      <c r="D39" s="1">
        <f t="shared" si="14"/>
        <v>19.899999999999999</v>
      </c>
      <c r="E39" s="1">
        <f t="shared" si="0"/>
        <v>0</v>
      </c>
      <c r="F39" s="1">
        <f t="shared" si="15"/>
        <v>198.61</v>
      </c>
      <c r="G39" s="1">
        <f t="shared" si="2"/>
        <v>0</v>
      </c>
      <c r="H39" s="1">
        <v>9.9429999999999996</v>
      </c>
      <c r="I39" s="1">
        <v>0.34770000000000001</v>
      </c>
      <c r="M39" s="1">
        <v>4.7699999999999996</v>
      </c>
      <c r="N39" s="1">
        <f t="shared" si="3"/>
        <v>1.6585289999999999</v>
      </c>
      <c r="O39">
        <f t="shared" si="29"/>
        <v>1.5660000000000114</v>
      </c>
      <c r="P39">
        <f t="shared" si="30"/>
        <v>6.154000000000007</v>
      </c>
      <c r="Q39">
        <f t="shared" si="31"/>
        <v>4.5879999999999956</v>
      </c>
      <c r="R39">
        <f t="shared" si="32"/>
        <v>1.9090000000000114</v>
      </c>
      <c r="S39">
        <f t="shared" si="33"/>
        <v>1.0289999999999981</v>
      </c>
      <c r="T39">
        <f t="shared" si="34"/>
        <v>0</v>
      </c>
      <c r="U39">
        <f t="shared" si="35"/>
        <v>0.50744999999999796</v>
      </c>
      <c r="V39">
        <f t="shared" si="21"/>
        <v>0</v>
      </c>
      <c r="W39">
        <f t="shared" si="22"/>
        <v>0</v>
      </c>
      <c r="X39">
        <f t="shared" si="36"/>
        <v>0</v>
      </c>
      <c r="Y39">
        <f t="shared" si="28"/>
        <v>-1.5616911130284707</v>
      </c>
      <c r="Z39">
        <f t="shared" si="23"/>
        <v>0</v>
      </c>
      <c r="AA39">
        <f t="shared" si="24"/>
        <v>-1.0616911130284707</v>
      </c>
      <c r="AB39">
        <f t="shared" si="25"/>
        <v>1.225433820416806</v>
      </c>
      <c r="AC39">
        <f t="shared" si="26"/>
        <v>3.604091904082539</v>
      </c>
      <c r="AD39">
        <f t="shared" si="27"/>
        <v>0</v>
      </c>
    </row>
    <row r="40" spans="1:30" x14ac:dyDescent="0.3">
      <c r="A40" s="1">
        <v>39</v>
      </c>
      <c r="B40" s="1">
        <v>7</v>
      </c>
      <c r="C40" s="1">
        <v>9.76</v>
      </c>
      <c r="D40" s="1">
        <f t="shared" si="14"/>
        <v>29.659999999999997</v>
      </c>
      <c r="E40" s="1">
        <f t="shared" si="0"/>
        <v>0</v>
      </c>
      <c r="F40" s="1">
        <f t="shared" si="15"/>
        <v>293.86760000000004</v>
      </c>
      <c r="G40" s="1">
        <f t="shared" si="2"/>
        <v>0</v>
      </c>
      <c r="H40" s="1">
        <v>9.9429999999999996</v>
      </c>
      <c r="I40" s="1">
        <v>0.34770000000000001</v>
      </c>
      <c r="M40" s="1">
        <v>4.7699999999999996</v>
      </c>
      <c r="N40" s="1">
        <f t="shared" si="3"/>
        <v>1.6585289999999999</v>
      </c>
      <c r="O40">
        <f t="shared" si="29"/>
        <v>1.3830000000000116</v>
      </c>
      <c r="P40">
        <f t="shared" si="30"/>
        <v>6.154000000000007</v>
      </c>
      <c r="Q40">
        <f t="shared" si="31"/>
        <v>4.7709999999999955</v>
      </c>
      <c r="R40">
        <f t="shared" si="32"/>
        <v>1.7260000000000115</v>
      </c>
      <c r="S40">
        <f t="shared" si="33"/>
        <v>1.211999999999998</v>
      </c>
      <c r="T40">
        <f t="shared" si="34"/>
        <v>0</v>
      </c>
      <c r="U40">
        <f t="shared" si="35"/>
        <v>0.51659999999999773</v>
      </c>
      <c r="V40">
        <f t="shared" si="21"/>
        <v>0</v>
      </c>
      <c r="W40">
        <f t="shared" si="22"/>
        <v>0</v>
      </c>
      <c r="X40">
        <f t="shared" si="36"/>
        <v>0</v>
      </c>
      <c r="Y40">
        <f t="shared" si="28"/>
        <v>-0.52631578947368374</v>
      </c>
      <c r="Z40">
        <f t="shared" si="23"/>
        <v>0</v>
      </c>
      <c r="AA40">
        <f t="shared" si="24"/>
        <v>0</v>
      </c>
      <c r="AB40">
        <f t="shared" si="25"/>
        <v>-0.27657234925498159</v>
      </c>
      <c r="AC40">
        <f t="shared" si="26"/>
        <v>2.8275195548275573</v>
      </c>
      <c r="AD40">
        <f t="shared" si="27"/>
        <v>0</v>
      </c>
    </row>
    <row r="41" spans="1:30" x14ac:dyDescent="0.3">
      <c r="A41" s="1">
        <v>40</v>
      </c>
      <c r="B41" s="1">
        <v>7</v>
      </c>
      <c r="C41" s="1">
        <v>9.8000000000000007</v>
      </c>
      <c r="D41" s="1">
        <f t="shared" si="14"/>
        <v>39.459999999999994</v>
      </c>
      <c r="E41" s="1">
        <f t="shared" si="0"/>
        <v>0</v>
      </c>
      <c r="F41" s="1">
        <f t="shared" si="15"/>
        <v>389.90760000000006</v>
      </c>
      <c r="G41" s="1">
        <f t="shared" si="2"/>
        <v>0</v>
      </c>
      <c r="H41" s="1">
        <v>9.9429999999999996</v>
      </c>
      <c r="I41" s="1">
        <v>0.34770000000000001</v>
      </c>
      <c r="M41" s="1">
        <v>4.7699999999999996</v>
      </c>
      <c r="N41" s="1">
        <f t="shared" si="3"/>
        <v>1.6585289999999999</v>
      </c>
      <c r="O41">
        <f t="shared" si="29"/>
        <v>1.2400000000000126</v>
      </c>
      <c r="P41">
        <f t="shared" si="30"/>
        <v>6.154000000000007</v>
      </c>
      <c r="Q41">
        <f t="shared" si="31"/>
        <v>4.9139999999999944</v>
      </c>
      <c r="R41">
        <f t="shared" si="32"/>
        <v>1.5830000000000126</v>
      </c>
      <c r="S41">
        <f t="shared" si="33"/>
        <v>1.3549999999999969</v>
      </c>
      <c r="T41">
        <f t="shared" si="34"/>
        <v>0</v>
      </c>
      <c r="U41">
        <f t="shared" si="35"/>
        <v>0.48574999999999663</v>
      </c>
      <c r="V41">
        <f t="shared" si="21"/>
        <v>0</v>
      </c>
      <c r="W41">
        <f t="shared" si="22"/>
        <v>0</v>
      </c>
      <c r="X41">
        <f t="shared" si="36"/>
        <v>0</v>
      </c>
      <c r="Y41">
        <f t="shared" si="28"/>
        <v>-0.41127408685648231</v>
      </c>
      <c r="Z41">
        <f t="shared" si="23"/>
        <v>0</v>
      </c>
      <c r="AA41">
        <f t="shared" si="24"/>
        <v>0</v>
      </c>
      <c r="AB41">
        <f t="shared" si="25"/>
        <v>-0.51774628449102322</v>
      </c>
      <c r="AC41">
        <f t="shared" si="26"/>
        <v>1.8097732703365341</v>
      </c>
      <c r="AD41">
        <f t="shared" si="27"/>
        <v>-1.7746284491023223E-2</v>
      </c>
    </row>
    <row r="42" spans="1:30" x14ac:dyDescent="0.3">
      <c r="A42" s="1">
        <v>41</v>
      </c>
      <c r="B42" s="1">
        <v>7</v>
      </c>
      <c r="C42" s="1">
        <v>9.1</v>
      </c>
      <c r="D42" s="1">
        <f t="shared" si="14"/>
        <v>48.559999999999995</v>
      </c>
      <c r="E42" s="1">
        <f t="shared" si="0"/>
        <v>0</v>
      </c>
      <c r="F42" s="1">
        <f t="shared" si="15"/>
        <v>472.71760000000006</v>
      </c>
      <c r="G42" s="1">
        <f t="shared" si="2"/>
        <v>0</v>
      </c>
      <c r="H42" s="1">
        <v>9.9429999999999996</v>
      </c>
      <c r="I42" s="1">
        <v>0.34770000000000001</v>
      </c>
      <c r="M42" s="1">
        <v>4.7699999999999996</v>
      </c>
      <c r="N42" s="1">
        <f t="shared" si="3"/>
        <v>1.6585289999999999</v>
      </c>
      <c r="O42">
        <f t="shared" si="29"/>
        <v>0.39700000000001268</v>
      </c>
      <c r="P42">
        <f t="shared" si="30"/>
        <v>6.154000000000007</v>
      </c>
      <c r="Q42">
        <f t="shared" si="31"/>
        <v>5.7569999999999943</v>
      </c>
      <c r="R42">
        <f t="shared" si="32"/>
        <v>0.74000000000001265</v>
      </c>
      <c r="S42">
        <f t="shared" si="33"/>
        <v>2.1979999999999968</v>
      </c>
      <c r="T42">
        <f t="shared" si="34"/>
        <v>0</v>
      </c>
      <c r="U42">
        <f t="shared" si="35"/>
        <v>1.1548999999999965</v>
      </c>
      <c r="V42">
        <f t="shared" si="21"/>
        <v>0</v>
      </c>
      <c r="W42">
        <f t="shared" si="22"/>
        <v>0</v>
      </c>
      <c r="X42">
        <f t="shared" si="36"/>
        <v>0</v>
      </c>
      <c r="Y42">
        <f t="shared" si="28"/>
        <v>-2.4245038826574632</v>
      </c>
      <c r="Z42">
        <f t="shared" si="23"/>
        <v>0</v>
      </c>
      <c r="AA42">
        <f t="shared" si="24"/>
        <v>-1.9245038826574632</v>
      </c>
      <c r="AB42">
        <f t="shared" si="25"/>
        <v>2.106251714650631</v>
      </c>
      <c r="AC42">
        <f t="shared" si="26"/>
        <v>3.4160249849871649</v>
      </c>
      <c r="AD42">
        <f t="shared" si="27"/>
        <v>0</v>
      </c>
    </row>
    <row r="43" spans="1:30" x14ac:dyDescent="0.3">
      <c r="A43" s="1">
        <v>42</v>
      </c>
      <c r="B43" s="1">
        <v>7</v>
      </c>
      <c r="C43" s="1">
        <v>10.1</v>
      </c>
      <c r="D43" s="1">
        <f t="shared" si="14"/>
        <v>58.66</v>
      </c>
      <c r="E43" s="1">
        <f t="shared" si="0"/>
        <v>9.7766666666666655</v>
      </c>
      <c r="F43" s="1">
        <f t="shared" si="15"/>
        <v>574.72760000000005</v>
      </c>
      <c r="G43" s="1">
        <f t="shared" si="2"/>
        <v>0.24566666666671608</v>
      </c>
      <c r="H43" s="1">
        <v>9.9429999999999996</v>
      </c>
      <c r="I43" s="1">
        <v>0.34770000000000001</v>
      </c>
      <c r="M43" s="1">
        <v>4.7699999999999996</v>
      </c>
      <c r="N43" s="1">
        <f t="shared" si="3"/>
        <v>1.6585289999999999</v>
      </c>
      <c r="O43">
        <f t="shared" si="29"/>
        <v>0.5540000000000127</v>
      </c>
      <c r="P43">
        <f t="shared" si="30"/>
        <v>6.311000000000007</v>
      </c>
      <c r="Q43">
        <f t="shared" si="31"/>
        <v>5.7569999999999943</v>
      </c>
      <c r="R43">
        <f t="shared" si="32"/>
        <v>0.89700000000001268</v>
      </c>
      <c r="S43">
        <f t="shared" si="33"/>
        <v>2.0409999999999968</v>
      </c>
      <c r="T43">
        <f t="shared" si="34"/>
        <v>0</v>
      </c>
      <c r="U43">
        <f t="shared" si="35"/>
        <v>0.8240499999999964</v>
      </c>
      <c r="V43">
        <f t="shared" si="21"/>
        <v>0</v>
      </c>
      <c r="W43">
        <f t="shared" si="22"/>
        <v>0</v>
      </c>
      <c r="X43">
        <f t="shared" si="36"/>
        <v>0</v>
      </c>
      <c r="Y43">
        <f t="shared" si="28"/>
        <v>0.45153868277250508</v>
      </c>
      <c r="Z43">
        <f t="shared" si="23"/>
        <v>0</v>
      </c>
      <c r="AA43">
        <f t="shared" si="24"/>
        <v>0</v>
      </c>
      <c r="AB43">
        <f t="shared" si="25"/>
        <v>-0.42989604304063328</v>
      </c>
      <c r="AC43">
        <f t="shared" si="26"/>
        <v>2.4861289419465313</v>
      </c>
      <c r="AD43">
        <f t="shared" si="27"/>
        <v>0</v>
      </c>
    </row>
    <row r="44" spans="1:30" x14ac:dyDescent="0.3">
      <c r="A44" s="1">
        <v>43</v>
      </c>
      <c r="B44" s="1">
        <v>8</v>
      </c>
      <c r="C44" s="1">
        <v>9.8000000000000007</v>
      </c>
      <c r="D44" s="1">
        <f t="shared" si="14"/>
        <v>9.8000000000000007</v>
      </c>
      <c r="E44" s="1">
        <f t="shared" si="0"/>
        <v>0</v>
      </c>
      <c r="F44" s="1">
        <f t="shared" si="15"/>
        <v>96.04000000000002</v>
      </c>
      <c r="G44" s="1">
        <f t="shared" si="2"/>
        <v>0</v>
      </c>
      <c r="H44" s="1">
        <v>9.9429999999999996</v>
      </c>
      <c r="I44" s="1">
        <v>0.34770000000000001</v>
      </c>
      <c r="M44" s="1">
        <v>4.7699999999999996</v>
      </c>
      <c r="N44" s="1">
        <f t="shared" si="3"/>
        <v>1.6585289999999999</v>
      </c>
      <c r="O44">
        <f t="shared" si="29"/>
        <v>0.4110000000000138</v>
      </c>
      <c r="P44">
        <f t="shared" si="30"/>
        <v>6.311000000000007</v>
      </c>
      <c r="Q44">
        <f t="shared" si="31"/>
        <v>5.8999999999999932</v>
      </c>
      <c r="R44">
        <f t="shared" si="32"/>
        <v>0.75400000000001377</v>
      </c>
      <c r="S44">
        <f t="shared" si="33"/>
        <v>2.1839999999999957</v>
      </c>
      <c r="T44">
        <f t="shared" si="34"/>
        <v>0</v>
      </c>
      <c r="U44">
        <f t="shared" si="35"/>
        <v>0.79319999999999524</v>
      </c>
      <c r="V44">
        <f t="shared" si="21"/>
        <v>0</v>
      </c>
      <c r="W44">
        <f t="shared" si="22"/>
        <v>0</v>
      </c>
      <c r="X44">
        <f t="shared" si="36"/>
        <v>0</v>
      </c>
      <c r="Y44">
        <f t="shared" si="28"/>
        <v>-0.41127408685648231</v>
      </c>
      <c r="Z44">
        <f t="shared" si="23"/>
        <v>0</v>
      </c>
      <c r="AA44">
        <f t="shared" si="24"/>
        <v>0</v>
      </c>
      <c r="AB44">
        <f t="shared" si="25"/>
        <v>-0.51774628449102322</v>
      </c>
      <c r="AC44">
        <f t="shared" si="26"/>
        <v>1.4683826574555081</v>
      </c>
      <c r="AD44">
        <f t="shared" si="27"/>
        <v>-1.7746284491023223E-2</v>
      </c>
    </row>
    <row r="45" spans="1:30" x14ac:dyDescent="0.3">
      <c r="A45" s="1">
        <v>44</v>
      </c>
      <c r="B45" s="1">
        <v>8</v>
      </c>
      <c r="C45" s="1">
        <v>9.9</v>
      </c>
      <c r="D45" s="1">
        <f t="shared" si="14"/>
        <v>19.700000000000003</v>
      </c>
      <c r="E45" s="1">
        <f t="shared" si="0"/>
        <v>0</v>
      </c>
      <c r="F45" s="1">
        <f t="shared" si="15"/>
        <v>194.05</v>
      </c>
      <c r="G45" s="1">
        <f t="shared" si="2"/>
        <v>0</v>
      </c>
      <c r="H45" s="1">
        <v>9.9429999999999996</v>
      </c>
      <c r="I45" s="1">
        <v>0.34770000000000001</v>
      </c>
      <c r="M45" s="1">
        <v>4.7699999999999996</v>
      </c>
      <c r="N45" s="1">
        <f t="shared" si="3"/>
        <v>1.6585289999999999</v>
      </c>
      <c r="O45">
        <f t="shared" si="29"/>
        <v>0.36800000000001454</v>
      </c>
      <c r="P45">
        <f t="shared" si="30"/>
        <v>6.311000000000007</v>
      </c>
      <c r="Q45">
        <f t="shared" si="31"/>
        <v>5.9429999999999925</v>
      </c>
      <c r="R45">
        <f t="shared" si="32"/>
        <v>0.71100000000001451</v>
      </c>
      <c r="S45">
        <f t="shared" si="33"/>
        <v>2.226999999999995</v>
      </c>
      <c r="T45">
        <f t="shared" si="34"/>
        <v>0</v>
      </c>
      <c r="U45">
        <f t="shared" si="35"/>
        <v>0.66234999999999444</v>
      </c>
      <c r="V45">
        <f t="shared" si="21"/>
        <v>0</v>
      </c>
      <c r="W45">
        <f t="shared" si="22"/>
        <v>0</v>
      </c>
      <c r="X45">
        <f t="shared" si="36"/>
        <v>0</v>
      </c>
      <c r="Y45">
        <f t="shared" si="28"/>
        <v>-0.12366983031348651</v>
      </c>
      <c r="Z45">
        <f t="shared" si="23"/>
        <v>0</v>
      </c>
      <c r="AA45">
        <f t="shared" si="24"/>
        <v>0</v>
      </c>
      <c r="AB45">
        <f t="shared" si="25"/>
        <v>-1.3476584088962507</v>
      </c>
      <c r="AC45">
        <f t="shared" si="26"/>
        <v>0</v>
      </c>
      <c r="AD45">
        <f t="shared" si="27"/>
        <v>-0.82991212440522744</v>
      </c>
    </row>
    <row r="46" spans="1:30" x14ac:dyDescent="0.3">
      <c r="A46" s="1">
        <v>45</v>
      </c>
      <c r="B46" s="1">
        <v>8</v>
      </c>
      <c r="C46" s="1">
        <v>9.6999999999999993</v>
      </c>
      <c r="D46" s="1">
        <f t="shared" si="14"/>
        <v>29.400000000000002</v>
      </c>
      <c r="E46" s="1">
        <f t="shared" si="0"/>
        <v>0</v>
      </c>
      <c r="F46" s="1">
        <f t="shared" si="15"/>
        <v>288.14</v>
      </c>
      <c r="G46" s="1">
        <f t="shared" si="2"/>
        <v>0</v>
      </c>
      <c r="H46" s="1">
        <v>9.9429999999999996</v>
      </c>
      <c r="I46" s="1">
        <v>0.34770000000000001</v>
      </c>
      <c r="M46" s="1">
        <v>4.7699999999999996</v>
      </c>
      <c r="N46" s="1">
        <f t="shared" si="3"/>
        <v>1.6585289999999999</v>
      </c>
      <c r="O46">
        <f t="shared" si="29"/>
        <v>0.12500000000001421</v>
      </c>
      <c r="P46">
        <f t="shared" si="30"/>
        <v>6.311000000000007</v>
      </c>
      <c r="Q46">
        <f t="shared" si="31"/>
        <v>6.1859999999999928</v>
      </c>
      <c r="R46">
        <f t="shared" si="32"/>
        <v>0.46800000000001418</v>
      </c>
      <c r="S46">
        <f t="shared" si="33"/>
        <v>2.4699999999999953</v>
      </c>
      <c r="T46">
        <f t="shared" si="34"/>
        <v>0</v>
      </c>
      <c r="U46">
        <f t="shared" si="35"/>
        <v>0.73149999999999471</v>
      </c>
      <c r="V46">
        <f t="shared" si="21"/>
        <v>0</v>
      </c>
      <c r="W46">
        <f t="shared" si="22"/>
        <v>0</v>
      </c>
      <c r="X46">
        <f t="shared" si="36"/>
        <v>0</v>
      </c>
      <c r="Y46">
        <f t="shared" si="28"/>
        <v>-0.69887834339948318</v>
      </c>
      <c r="Z46">
        <f t="shared" si="23"/>
        <v>0</v>
      </c>
      <c r="AA46">
        <f t="shared" si="24"/>
        <v>-0.19887834339948318</v>
      </c>
      <c r="AB46">
        <f t="shared" si="25"/>
        <v>4.0084354629023308E-2</v>
      </c>
      <c r="AC46">
        <f t="shared" si="26"/>
        <v>0</v>
      </c>
      <c r="AD46">
        <f t="shared" si="27"/>
        <v>0</v>
      </c>
    </row>
    <row r="47" spans="1:30" x14ac:dyDescent="0.3">
      <c r="A47" s="1">
        <v>46</v>
      </c>
      <c r="B47" s="1">
        <v>8</v>
      </c>
      <c r="C47" s="1">
        <v>9.6999999999999993</v>
      </c>
      <c r="D47" s="1">
        <f t="shared" si="14"/>
        <v>39.1</v>
      </c>
      <c r="E47" s="1">
        <f t="shared" si="0"/>
        <v>0</v>
      </c>
      <c r="F47" s="1">
        <f t="shared" si="15"/>
        <v>382.22999999999996</v>
      </c>
      <c r="G47" s="1">
        <f t="shared" si="2"/>
        <v>0</v>
      </c>
      <c r="H47" s="1">
        <v>9.9429999999999996</v>
      </c>
      <c r="I47" s="1">
        <v>0.34770000000000001</v>
      </c>
      <c r="M47" s="1">
        <v>4.7699999999999996</v>
      </c>
      <c r="N47" s="1">
        <f t="shared" si="3"/>
        <v>1.6585289999999999</v>
      </c>
      <c r="O47">
        <f t="shared" si="29"/>
        <v>-0.11799999999998612</v>
      </c>
      <c r="P47">
        <f t="shared" si="30"/>
        <v>6.311000000000007</v>
      </c>
      <c r="Q47">
        <f t="shared" si="31"/>
        <v>6.4289999999999932</v>
      </c>
      <c r="R47">
        <f t="shared" si="32"/>
        <v>0.22500000000001386</v>
      </c>
      <c r="S47">
        <f t="shared" si="33"/>
        <v>2.7129999999999956</v>
      </c>
      <c r="T47">
        <f t="shared" si="34"/>
        <v>0</v>
      </c>
      <c r="U47">
        <f t="shared" si="35"/>
        <v>0.80064999999999498</v>
      </c>
      <c r="V47">
        <f t="shared" si="21"/>
        <v>0</v>
      </c>
      <c r="W47">
        <f t="shared" si="22"/>
        <v>0</v>
      </c>
      <c r="X47">
        <f t="shared" si="36"/>
        <v>0</v>
      </c>
      <c r="Y47">
        <f t="shared" si="28"/>
        <v>-0.69887834339948318</v>
      </c>
      <c r="Z47">
        <f t="shared" si="23"/>
        <v>0</v>
      </c>
      <c r="AA47">
        <f t="shared" si="24"/>
        <v>0</v>
      </c>
      <c r="AB47">
        <f t="shared" si="25"/>
        <v>4.0084354629023308E-2</v>
      </c>
      <c r="AC47">
        <f t="shared" si="26"/>
        <v>0</v>
      </c>
      <c r="AD47">
        <f t="shared" si="27"/>
        <v>0</v>
      </c>
    </row>
    <row r="48" spans="1:30" x14ac:dyDescent="0.3">
      <c r="A48" s="1">
        <v>47</v>
      </c>
      <c r="B48" s="1">
        <v>8</v>
      </c>
      <c r="C48" s="1">
        <v>9.3000000000000007</v>
      </c>
      <c r="D48" s="1">
        <f t="shared" si="14"/>
        <v>48.400000000000006</v>
      </c>
      <c r="E48" s="1">
        <f t="shared" si="0"/>
        <v>0</v>
      </c>
      <c r="F48" s="1">
        <f t="shared" si="15"/>
        <v>468.71999999999997</v>
      </c>
      <c r="G48" s="1">
        <f t="shared" si="2"/>
        <v>0</v>
      </c>
      <c r="H48" s="1">
        <v>9.9429999999999996</v>
      </c>
      <c r="I48" s="1">
        <v>0.34770000000000001</v>
      </c>
      <c r="M48" s="1">
        <v>4.7699999999999996</v>
      </c>
      <c r="N48" s="1">
        <f t="shared" si="3"/>
        <v>1.6585289999999999</v>
      </c>
      <c r="O48">
        <f t="shared" si="29"/>
        <v>-0.76099999999998502</v>
      </c>
      <c r="P48">
        <f t="shared" si="30"/>
        <v>6.311000000000007</v>
      </c>
      <c r="Q48">
        <f t="shared" si="31"/>
        <v>7.0719999999999921</v>
      </c>
      <c r="R48">
        <f t="shared" si="32"/>
        <v>0</v>
      </c>
      <c r="S48">
        <f t="shared" si="33"/>
        <v>3.3559999999999945</v>
      </c>
      <c r="T48">
        <f t="shared" si="34"/>
        <v>0</v>
      </c>
      <c r="U48">
        <f t="shared" si="35"/>
        <v>1.2697999999999938</v>
      </c>
      <c r="V48">
        <f t="shared" si="21"/>
        <v>0</v>
      </c>
      <c r="W48">
        <f t="shared" si="22"/>
        <v>0</v>
      </c>
      <c r="X48">
        <f t="shared" si="36"/>
        <v>0</v>
      </c>
      <c r="Y48">
        <f t="shared" si="28"/>
        <v>-1.8492953695714665</v>
      </c>
      <c r="Z48">
        <f t="shared" si="23"/>
        <v>0</v>
      </c>
      <c r="AA48">
        <f t="shared" si="24"/>
        <v>-1.3492953695714665</v>
      </c>
      <c r="AB48">
        <f t="shared" si="25"/>
        <v>1.5412263578999048</v>
      </c>
      <c r="AC48">
        <f t="shared" si="26"/>
        <v>1.0412263578999048</v>
      </c>
      <c r="AD48">
        <f t="shared" si="27"/>
        <v>0</v>
      </c>
    </row>
    <row r="49" spans="1:30" x14ac:dyDescent="0.3">
      <c r="A49" s="1">
        <v>48</v>
      </c>
      <c r="B49" s="1">
        <v>8</v>
      </c>
      <c r="C49" s="1">
        <v>9.8000000000000007</v>
      </c>
      <c r="D49" s="1">
        <f t="shared" si="14"/>
        <v>58.2</v>
      </c>
      <c r="E49" s="1">
        <f t="shared" si="0"/>
        <v>9.7000000000000011</v>
      </c>
      <c r="F49" s="1">
        <f t="shared" si="15"/>
        <v>564.76</v>
      </c>
      <c r="G49" s="1">
        <f t="shared" si="2"/>
        <v>4.399999999998272E-2</v>
      </c>
      <c r="H49" s="1">
        <v>9.9429999999999996</v>
      </c>
      <c r="I49" s="1">
        <v>0.34770000000000001</v>
      </c>
      <c r="M49" s="1">
        <v>4.7699999999999996</v>
      </c>
      <c r="N49" s="1">
        <f t="shared" si="3"/>
        <v>1.6585289999999999</v>
      </c>
      <c r="O49">
        <f t="shared" si="29"/>
        <v>-0.90399999999998393</v>
      </c>
      <c r="P49">
        <f t="shared" si="30"/>
        <v>6.311000000000007</v>
      </c>
      <c r="Q49">
        <f t="shared" si="31"/>
        <v>7.214999999999991</v>
      </c>
      <c r="R49">
        <f t="shared" si="32"/>
        <v>0</v>
      </c>
      <c r="S49">
        <f t="shared" si="33"/>
        <v>3.4989999999999934</v>
      </c>
      <c r="T49">
        <f t="shared" si="34"/>
        <v>0</v>
      </c>
      <c r="U49">
        <f t="shared" si="35"/>
        <v>1.2389499999999927</v>
      </c>
      <c r="V49">
        <f t="shared" si="21"/>
        <v>0</v>
      </c>
      <c r="W49">
        <f t="shared" si="22"/>
        <v>0</v>
      </c>
      <c r="X49">
        <f t="shared" si="36"/>
        <v>0</v>
      </c>
      <c r="Y49">
        <f t="shared" si="28"/>
        <v>-0.41127408685648231</v>
      </c>
      <c r="Z49">
        <f t="shared" si="23"/>
        <v>0</v>
      </c>
      <c r="AA49">
        <f t="shared" si="24"/>
        <v>0</v>
      </c>
      <c r="AB49">
        <f t="shared" si="25"/>
        <v>-0.51774628449102322</v>
      </c>
      <c r="AC49">
        <f t="shared" si="26"/>
        <v>2.3480073408881585E-2</v>
      </c>
      <c r="AD49">
        <f t="shared" si="27"/>
        <v>-1.7746284491023223E-2</v>
      </c>
    </row>
    <row r="50" spans="1:30" x14ac:dyDescent="0.3">
      <c r="A50" s="1">
        <v>49</v>
      </c>
      <c r="B50" s="1">
        <v>9</v>
      </c>
      <c r="C50" s="1">
        <v>9.6999999999999993</v>
      </c>
      <c r="D50" s="1">
        <f t="shared" si="14"/>
        <v>9.6999999999999993</v>
      </c>
      <c r="E50" s="1">
        <f t="shared" si="0"/>
        <v>0</v>
      </c>
      <c r="F50" s="1">
        <f t="shared" si="15"/>
        <v>94.089999999999989</v>
      </c>
      <c r="G50" s="1">
        <f t="shared" si="2"/>
        <v>0</v>
      </c>
      <c r="H50" s="1">
        <v>9.9429999999999996</v>
      </c>
      <c r="I50" s="1">
        <v>0.34770000000000001</v>
      </c>
      <c r="M50" s="1">
        <v>4.7699999999999996</v>
      </c>
      <c r="N50" s="1">
        <f t="shared" si="3"/>
        <v>1.6585289999999999</v>
      </c>
      <c r="O50">
        <f t="shared" si="29"/>
        <v>-1.1469999999999843</v>
      </c>
      <c r="P50">
        <f t="shared" si="30"/>
        <v>6.311000000000007</v>
      </c>
      <c r="Q50">
        <f t="shared" si="31"/>
        <v>7.4579999999999913</v>
      </c>
      <c r="R50">
        <f t="shared" si="32"/>
        <v>0</v>
      </c>
      <c r="S50">
        <f t="shared" si="33"/>
        <v>3.7419999999999938</v>
      </c>
      <c r="T50">
        <f t="shared" si="34"/>
        <v>0</v>
      </c>
      <c r="U50">
        <f t="shared" si="35"/>
        <v>1.3080999999999929</v>
      </c>
      <c r="V50">
        <f t="shared" si="21"/>
        <v>0</v>
      </c>
      <c r="W50">
        <f t="shared" si="22"/>
        <v>0</v>
      </c>
      <c r="X50">
        <f t="shared" si="36"/>
        <v>0</v>
      </c>
      <c r="Y50">
        <f t="shared" si="28"/>
        <v>-0.69887834339948318</v>
      </c>
      <c r="Z50">
        <f t="shared" si="23"/>
        <v>0</v>
      </c>
      <c r="AA50">
        <f t="shared" si="24"/>
        <v>-0.19887834339948318</v>
      </c>
      <c r="AB50">
        <f t="shared" si="25"/>
        <v>4.0084354629023308E-2</v>
      </c>
      <c r="AC50">
        <f t="shared" si="26"/>
        <v>0</v>
      </c>
      <c r="AD50">
        <f t="shared" si="27"/>
        <v>0</v>
      </c>
    </row>
    <row r="51" spans="1:30" x14ac:dyDescent="0.3">
      <c r="A51" s="1">
        <v>50</v>
      </c>
      <c r="B51" s="1">
        <v>9</v>
      </c>
      <c r="C51" s="1">
        <v>10.4</v>
      </c>
      <c r="D51" s="1">
        <f t="shared" si="14"/>
        <v>20.100000000000001</v>
      </c>
      <c r="E51" s="1">
        <f t="shared" si="0"/>
        <v>0</v>
      </c>
      <c r="F51" s="1">
        <f t="shared" si="15"/>
        <v>202.25</v>
      </c>
      <c r="G51" s="1">
        <f t="shared" si="2"/>
        <v>0</v>
      </c>
      <c r="H51" s="1">
        <v>9.9429999999999996</v>
      </c>
      <c r="I51" s="1">
        <v>0.34770000000000001</v>
      </c>
      <c r="M51" s="1">
        <v>4.7699999999999996</v>
      </c>
      <c r="N51" s="1">
        <f t="shared" si="3"/>
        <v>1.6585289999999999</v>
      </c>
      <c r="O51">
        <f t="shared" si="29"/>
        <v>-0.68999999999998352</v>
      </c>
      <c r="P51">
        <f t="shared" si="30"/>
        <v>6.7680000000000078</v>
      </c>
      <c r="Q51">
        <f t="shared" si="31"/>
        <v>7.4579999999999913</v>
      </c>
      <c r="R51">
        <f t="shared" si="32"/>
        <v>0.45700000000000074</v>
      </c>
      <c r="S51">
        <f t="shared" si="33"/>
        <v>3.284999999999993</v>
      </c>
      <c r="T51">
        <f t="shared" si="34"/>
        <v>0.28315000000000073</v>
      </c>
      <c r="U51">
        <f t="shared" si="35"/>
        <v>0.67724999999999214</v>
      </c>
      <c r="V51">
        <f t="shared" si="21"/>
        <v>1</v>
      </c>
      <c r="W51">
        <f t="shared" si="22"/>
        <v>0</v>
      </c>
      <c r="X51">
        <f t="shared" si="36"/>
        <v>0.28315000000000073</v>
      </c>
      <c r="Y51">
        <f t="shared" si="28"/>
        <v>1.3143514524014976</v>
      </c>
      <c r="Z51">
        <f t="shared" si="23"/>
        <v>0.81435145240149764</v>
      </c>
      <c r="AA51">
        <f t="shared" si="24"/>
        <v>0</v>
      </c>
      <c r="AB51">
        <f t="shared" si="25"/>
        <v>0.92966097149613636</v>
      </c>
      <c r="AC51">
        <f t="shared" si="26"/>
        <v>0.42966097149613636</v>
      </c>
      <c r="AD51">
        <f t="shared" si="27"/>
        <v>0</v>
      </c>
    </row>
    <row r="52" spans="1:30" x14ac:dyDescent="0.3">
      <c r="A52" s="1">
        <v>51</v>
      </c>
      <c r="B52" s="1">
        <v>9</v>
      </c>
      <c r="C52" s="1">
        <v>10.3</v>
      </c>
      <c r="D52" s="1">
        <f t="shared" si="14"/>
        <v>30.400000000000002</v>
      </c>
      <c r="E52" s="1">
        <f t="shared" si="0"/>
        <v>0</v>
      </c>
      <c r="F52" s="1">
        <f t="shared" si="15"/>
        <v>308.34000000000003</v>
      </c>
      <c r="G52" s="1">
        <f t="shared" si="2"/>
        <v>0</v>
      </c>
      <c r="H52" s="1">
        <v>9.9429999999999996</v>
      </c>
      <c r="I52" s="1">
        <v>0.34770000000000001</v>
      </c>
      <c r="M52" s="1">
        <v>4.7699999999999996</v>
      </c>
      <c r="N52" s="1">
        <f t="shared" si="3"/>
        <v>1.6585289999999999</v>
      </c>
      <c r="O52">
        <f t="shared" si="29"/>
        <v>-0.33299999999998242</v>
      </c>
      <c r="P52">
        <f t="shared" si="30"/>
        <v>7.1250000000000089</v>
      </c>
      <c r="Q52">
        <f t="shared" si="31"/>
        <v>7.4579999999999913</v>
      </c>
      <c r="R52">
        <f t="shared" si="32"/>
        <v>0.81400000000000183</v>
      </c>
      <c r="S52">
        <f t="shared" si="33"/>
        <v>2.9279999999999919</v>
      </c>
      <c r="T52">
        <f t="shared" si="34"/>
        <v>0.46630000000000182</v>
      </c>
      <c r="U52">
        <f t="shared" si="35"/>
        <v>0.14639999999999098</v>
      </c>
      <c r="V52">
        <f t="shared" si="21"/>
        <v>2</v>
      </c>
      <c r="W52">
        <f t="shared" si="22"/>
        <v>0</v>
      </c>
      <c r="X52">
        <f t="shared" si="36"/>
        <v>0.46630000000000182</v>
      </c>
      <c r="Y52">
        <f t="shared" si="28"/>
        <v>1.0267471958585017</v>
      </c>
      <c r="Z52">
        <f t="shared" si="23"/>
        <v>1.3410986482599994</v>
      </c>
      <c r="AA52">
        <f t="shared" si="24"/>
        <v>0</v>
      </c>
      <c r="AB52">
        <f t="shared" si="25"/>
        <v>0.54809555214191641</v>
      </c>
      <c r="AC52">
        <f t="shared" si="26"/>
        <v>0.47775652363805277</v>
      </c>
      <c r="AD52">
        <f t="shared" si="27"/>
        <v>0</v>
      </c>
    </row>
    <row r="53" spans="1:30" x14ac:dyDescent="0.3">
      <c r="A53" s="1">
        <v>52</v>
      </c>
      <c r="B53" s="1">
        <v>9</v>
      </c>
      <c r="C53" s="1">
        <v>10.3</v>
      </c>
      <c r="D53" s="1">
        <f t="shared" si="14"/>
        <v>40.700000000000003</v>
      </c>
      <c r="E53" s="1">
        <f t="shared" si="0"/>
        <v>0</v>
      </c>
      <c r="F53" s="1">
        <f t="shared" si="15"/>
        <v>414.43000000000006</v>
      </c>
      <c r="G53" s="1">
        <f t="shared" si="2"/>
        <v>0</v>
      </c>
      <c r="H53" s="1">
        <v>9.9429999999999996</v>
      </c>
      <c r="I53" s="1">
        <v>0.34770000000000001</v>
      </c>
      <c r="M53" s="1">
        <v>4.7699999999999996</v>
      </c>
      <c r="N53" s="1">
        <f t="shared" si="3"/>
        <v>1.6585289999999999</v>
      </c>
      <c r="O53">
        <f t="shared" si="29"/>
        <v>2.4000000000018673E-2</v>
      </c>
      <c r="P53">
        <f t="shared" si="30"/>
        <v>7.48200000000001</v>
      </c>
      <c r="Q53">
        <f t="shared" si="31"/>
        <v>7.4579999999999913</v>
      </c>
      <c r="R53">
        <f t="shared" si="32"/>
        <v>1.1710000000000029</v>
      </c>
      <c r="S53">
        <f t="shared" si="33"/>
        <v>2.5709999999999908</v>
      </c>
      <c r="T53">
        <f t="shared" si="34"/>
        <v>0.64945000000000297</v>
      </c>
      <c r="U53">
        <f t="shared" si="35"/>
        <v>0</v>
      </c>
      <c r="V53">
        <f t="shared" si="21"/>
        <v>3</v>
      </c>
      <c r="W53">
        <f t="shared" si="22"/>
        <v>0</v>
      </c>
      <c r="X53">
        <f t="shared" si="36"/>
        <v>0.64945000000000297</v>
      </c>
      <c r="Y53">
        <f t="shared" si="28"/>
        <v>1.0267471958585017</v>
      </c>
      <c r="Z53">
        <f t="shared" si="23"/>
        <v>1.8678458441185011</v>
      </c>
      <c r="AA53">
        <f t="shared" si="24"/>
        <v>0</v>
      </c>
      <c r="AB53">
        <f t="shared" si="25"/>
        <v>0.54809555214191641</v>
      </c>
      <c r="AC53">
        <f t="shared" si="26"/>
        <v>0.52585207577996917</v>
      </c>
      <c r="AD53">
        <f t="shared" si="27"/>
        <v>0</v>
      </c>
    </row>
    <row r="54" spans="1:30" x14ac:dyDescent="0.3">
      <c r="A54" s="1">
        <v>53</v>
      </c>
      <c r="B54" s="1">
        <v>9</v>
      </c>
      <c r="C54" s="1">
        <v>10</v>
      </c>
      <c r="D54" s="1">
        <f t="shared" si="14"/>
        <v>50.7</v>
      </c>
      <c r="E54" s="1">
        <f t="shared" si="0"/>
        <v>0</v>
      </c>
      <c r="F54" s="1">
        <f t="shared" si="15"/>
        <v>514.43000000000006</v>
      </c>
      <c r="G54" s="1">
        <f t="shared" si="2"/>
        <v>0</v>
      </c>
      <c r="H54" s="1">
        <v>9.9429999999999996</v>
      </c>
      <c r="I54" s="1">
        <v>0.34770000000000001</v>
      </c>
      <c r="M54" s="1">
        <v>4.7699999999999996</v>
      </c>
      <c r="N54" s="1">
        <f t="shared" si="3"/>
        <v>1.6585289999999999</v>
      </c>
      <c r="O54">
        <f t="shared" si="29"/>
        <v>8.1000000000019057E-2</v>
      </c>
      <c r="P54">
        <f t="shared" si="30"/>
        <v>7.5390000000000104</v>
      </c>
      <c r="Q54">
        <f t="shared" si="31"/>
        <v>7.4579999999999913</v>
      </c>
      <c r="R54">
        <f t="shared" si="32"/>
        <v>1.2280000000000033</v>
      </c>
      <c r="S54">
        <f t="shared" si="33"/>
        <v>2.5139999999999905</v>
      </c>
      <c r="T54">
        <f t="shared" si="34"/>
        <v>0.53260000000000329</v>
      </c>
      <c r="U54">
        <f t="shared" si="35"/>
        <v>0</v>
      </c>
      <c r="V54">
        <f t="shared" si="21"/>
        <v>4</v>
      </c>
      <c r="W54">
        <f t="shared" si="22"/>
        <v>0</v>
      </c>
      <c r="X54">
        <f t="shared" si="36"/>
        <v>0.53260000000000329</v>
      </c>
      <c r="Y54">
        <f t="shared" si="28"/>
        <v>0.16393442622950929</v>
      </c>
      <c r="Z54">
        <f t="shared" si="23"/>
        <v>1.5317802703480103</v>
      </c>
      <c r="AA54">
        <f t="shared" si="24"/>
        <v>0</v>
      </c>
      <c r="AB54">
        <f t="shared" si="25"/>
        <v>-1.1951628507465348</v>
      </c>
      <c r="AC54">
        <f t="shared" si="26"/>
        <v>0</v>
      </c>
      <c r="AD54">
        <f t="shared" si="27"/>
        <v>-0.69516285074653483</v>
      </c>
    </row>
    <row r="55" spans="1:30" x14ac:dyDescent="0.3">
      <c r="A55" s="1">
        <v>54</v>
      </c>
      <c r="B55" s="1">
        <v>9</v>
      </c>
      <c r="C55" s="1">
        <v>10.5</v>
      </c>
      <c r="D55" s="1">
        <f t="shared" si="14"/>
        <v>61.2</v>
      </c>
      <c r="E55" s="1">
        <f t="shared" si="0"/>
        <v>10.200000000000001</v>
      </c>
      <c r="F55" s="1">
        <f t="shared" si="15"/>
        <v>624.68000000000006</v>
      </c>
      <c r="G55" s="1">
        <f t="shared" si="2"/>
        <v>8.7999999999988171E-2</v>
      </c>
      <c r="H55" s="1">
        <v>9.9429999999999996</v>
      </c>
      <c r="I55" s="1">
        <v>0.34770000000000001</v>
      </c>
      <c r="M55" s="1">
        <v>4.7699999999999996</v>
      </c>
      <c r="N55" s="1">
        <f t="shared" si="3"/>
        <v>1.6585289999999999</v>
      </c>
      <c r="O55">
        <f t="shared" si="29"/>
        <v>0.63800000000001944</v>
      </c>
      <c r="P55">
        <f t="shared" si="30"/>
        <v>8.0960000000000107</v>
      </c>
      <c r="Q55">
        <f t="shared" si="31"/>
        <v>7.4579999999999913</v>
      </c>
      <c r="R55">
        <f t="shared" si="32"/>
        <v>1.7850000000000037</v>
      </c>
      <c r="S55">
        <f t="shared" si="33"/>
        <v>1.9569999999999901</v>
      </c>
      <c r="T55">
        <f t="shared" si="34"/>
        <v>0.91575000000000362</v>
      </c>
      <c r="U55">
        <f t="shared" si="35"/>
        <v>0</v>
      </c>
      <c r="V55">
        <f t="shared" si="21"/>
        <v>5</v>
      </c>
      <c r="W55">
        <f t="shared" si="22"/>
        <v>0</v>
      </c>
      <c r="X55">
        <f t="shared" si="36"/>
        <v>0.91575000000000362</v>
      </c>
      <c r="Y55">
        <f t="shared" si="28"/>
        <v>1.6019557089444934</v>
      </c>
      <c r="Z55">
        <f t="shared" si="23"/>
        <v>2.6337359792925037</v>
      </c>
      <c r="AA55">
        <f t="shared" si="24"/>
        <v>0</v>
      </c>
      <c r="AB55">
        <f t="shared" si="25"/>
        <v>1.2713005438907443</v>
      </c>
      <c r="AC55">
        <f t="shared" si="26"/>
        <v>0.77130054389074432</v>
      </c>
      <c r="AD55">
        <f t="shared" si="27"/>
        <v>0</v>
      </c>
    </row>
    <row r="56" spans="1:30" x14ac:dyDescent="0.3">
      <c r="A56" s="1">
        <v>55</v>
      </c>
      <c r="B56" s="1">
        <v>10</v>
      </c>
      <c r="C56" s="1">
        <v>9.6999999999999993</v>
      </c>
      <c r="D56" s="1">
        <f t="shared" si="14"/>
        <v>9.6999999999999993</v>
      </c>
      <c r="E56" s="1">
        <f t="shared" si="0"/>
        <v>0</v>
      </c>
      <c r="F56" s="1">
        <f t="shared" si="15"/>
        <v>94.089999999999989</v>
      </c>
      <c r="G56" s="1">
        <f t="shared" si="2"/>
        <v>0</v>
      </c>
      <c r="H56" s="1">
        <v>9.9429999999999996</v>
      </c>
      <c r="I56" s="1">
        <v>0.34770000000000001</v>
      </c>
      <c r="M56" s="1">
        <v>4.7699999999999996</v>
      </c>
      <c r="N56" s="1">
        <f t="shared" si="3"/>
        <v>1.6585289999999999</v>
      </c>
      <c r="O56">
        <f t="shared" si="29"/>
        <v>0.39500000000001911</v>
      </c>
      <c r="P56">
        <f t="shared" si="30"/>
        <v>8.0960000000000107</v>
      </c>
      <c r="Q56">
        <f t="shared" si="31"/>
        <v>7.7009999999999916</v>
      </c>
      <c r="R56">
        <f t="shared" si="32"/>
        <v>1.5420000000000034</v>
      </c>
      <c r="S56">
        <f t="shared" si="33"/>
        <v>2.1999999999999904</v>
      </c>
      <c r="T56">
        <f t="shared" si="34"/>
        <v>0.49890000000000329</v>
      </c>
      <c r="U56">
        <f t="shared" si="35"/>
        <v>6.9150000000000322E-2</v>
      </c>
      <c r="V56">
        <f t="shared" si="21"/>
        <v>6</v>
      </c>
      <c r="W56">
        <f t="shared" si="22"/>
        <v>0</v>
      </c>
      <c r="X56">
        <f t="shared" si="36"/>
        <v>0.49890000000000329</v>
      </c>
      <c r="Y56">
        <f t="shared" si="28"/>
        <v>-0.69887834339948318</v>
      </c>
      <c r="Z56">
        <f t="shared" si="23"/>
        <v>1.4348576358930205</v>
      </c>
      <c r="AA56">
        <f t="shared" si="24"/>
        <v>-0.19887834339948318</v>
      </c>
      <c r="AB56">
        <f t="shared" si="25"/>
        <v>4.0084354629023308E-2</v>
      </c>
      <c r="AC56">
        <f t="shared" si="26"/>
        <v>0.31138489851976764</v>
      </c>
      <c r="AD56">
        <f t="shared" si="27"/>
        <v>0</v>
      </c>
    </row>
    <row r="57" spans="1:30" x14ac:dyDescent="0.3">
      <c r="A57" s="1">
        <v>56</v>
      </c>
      <c r="B57" s="1">
        <v>10</v>
      </c>
      <c r="C57" s="1">
        <v>9.8000000000000007</v>
      </c>
      <c r="D57" s="1">
        <f t="shared" si="14"/>
        <v>19.5</v>
      </c>
      <c r="E57" s="1">
        <f t="shared" si="0"/>
        <v>0</v>
      </c>
      <c r="F57" s="1">
        <f t="shared" si="15"/>
        <v>190.13</v>
      </c>
      <c r="G57" s="1">
        <f t="shared" si="2"/>
        <v>0</v>
      </c>
      <c r="H57" s="1">
        <v>9.9429999999999996</v>
      </c>
      <c r="I57" s="1">
        <v>0.34770000000000001</v>
      </c>
      <c r="M57" s="1">
        <v>4.7699999999999996</v>
      </c>
      <c r="N57" s="1">
        <f t="shared" si="3"/>
        <v>1.6585289999999999</v>
      </c>
      <c r="O57">
        <f t="shared" si="29"/>
        <v>0.25200000000002021</v>
      </c>
      <c r="P57">
        <f t="shared" si="30"/>
        <v>8.0960000000000107</v>
      </c>
      <c r="Q57">
        <f t="shared" si="31"/>
        <v>7.8439999999999905</v>
      </c>
      <c r="R57">
        <f t="shared" si="32"/>
        <v>1.3990000000000045</v>
      </c>
      <c r="S57">
        <f t="shared" si="33"/>
        <v>2.3429999999999893</v>
      </c>
      <c r="T57">
        <f t="shared" si="34"/>
        <v>0.18205000000000437</v>
      </c>
      <c r="U57">
        <f t="shared" si="35"/>
        <v>3.8299999999999224E-2</v>
      </c>
      <c r="V57">
        <f t="shared" si="21"/>
        <v>7</v>
      </c>
      <c r="W57">
        <f t="shared" si="22"/>
        <v>0</v>
      </c>
      <c r="X57">
        <f t="shared" si="36"/>
        <v>0.18205000000000437</v>
      </c>
      <c r="Y57">
        <f t="shared" si="28"/>
        <v>-0.41127408685648231</v>
      </c>
      <c r="Z57">
        <f t="shared" si="23"/>
        <v>0.52358354903653814</v>
      </c>
      <c r="AA57">
        <f t="shared" si="24"/>
        <v>0</v>
      </c>
      <c r="AB57">
        <f t="shared" si="25"/>
        <v>-0.51774628449102322</v>
      </c>
      <c r="AC57">
        <f t="shared" si="26"/>
        <v>0</v>
      </c>
      <c r="AD57">
        <f t="shared" si="27"/>
        <v>-1.7746284491023223E-2</v>
      </c>
    </row>
    <row r="58" spans="1:30" x14ac:dyDescent="0.3">
      <c r="A58" s="1">
        <v>57</v>
      </c>
      <c r="B58" s="1">
        <v>10</v>
      </c>
      <c r="C58" s="1">
        <v>10.1</v>
      </c>
      <c r="D58" s="1">
        <f t="shared" si="14"/>
        <v>29.6</v>
      </c>
      <c r="E58" s="1">
        <f t="shared" si="0"/>
        <v>0</v>
      </c>
      <c r="F58" s="1">
        <f t="shared" si="15"/>
        <v>292.14</v>
      </c>
      <c r="G58" s="1">
        <f t="shared" si="2"/>
        <v>0</v>
      </c>
      <c r="H58" s="1">
        <v>9.9429999999999996</v>
      </c>
      <c r="I58" s="1">
        <v>0.34770000000000001</v>
      </c>
      <c r="M58" s="1">
        <v>4.7699999999999996</v>
      </c>
      <c r="N58" s="1">
        <f t="shared" si="3"/>
        <v>1.6585289999999999</v>
      </c>
      <c r="O58">
        <f t="shared" si="29"/>
        <v>0.40900000000002024</v>
      </c>
      <c r="P58">
        <f t="shared" si="30"/>
        <v>8.2530000000000108</v>
      </c>
      <c r="Q58">
        <f t="shared" si="31"/>
        <v>7.8439999999999905</v>
      </c>
      <c r="R58">
        <f t="shared" si="32"/>
        <v>1.5560000000000045</v>
      </c>
      <c r="S58">
        <f t="shared" si="33"/>
        <v>2.1859999999999893</v>
      </c>
      <c r="T58">
        <f t="shared" si="34"/>
        <v>0.1652000000000044</v>
      </c>
      <c r="U58">
        <f t="shared" si="35"/>
        <v>0</v>
      </c>
      <c r="V58">
        <f t="shared" si="21"/>
        <v>8</v>
      </c>
      <c r="W58">
        <f t="shared" si="22"/>
        <v>0</v>
      </c>
      <c r="X58">
        <f t="shared" si="36"/>
        <v>0.1652000000000044</v>
      </c>
      <c r="Y58">
        <f t="shared" si="28"/>
        <v>0.45153868277250508</v>
      </c>
      <c r="Z58">
        <f t="shared" si="23"/>
        <v>0.47512223180904323</v>
      </c>
      <c r="AA58">
        <f t="shared" si="24"/>
        <v>0</v>
      </c>
      <c r="AB58">
        <f t="shared" si="25"/>
        <v>-0.42989604304063328</v>
      </c>
      <c r="AC58">
        <f t="shared" si="26"/>
        <v>0</v>
      </c>
      <c r="AD58">
        <f t="shared" si="27"/>
        <v>0</v>
      </c>
    </row>
    <row r="59" spans="1:30" x14ac:dyDescent="0.3">
      <c r="A59" s="1">
        <v>58</v>
      </c>
      <c r="B59" s="1">
        <v>10</v>
      </c>
      <c r="C59" s="1">
        <v>9.6</v>
      </c>
      <c r="D59" s="1">
        <f t="shared" si="14"/>
        <v>39.200000000000003</v>
      </c>
      <c r="E59" s="1">
        <f t="shared" si="0"/>
        <v>0</v>
      </c>
      <c r="F59" s="1">
        <f t="shared" si="15"/>
        <v>384.29999999999995</v>
      </c>
      <c r="G59" s="1">
        <f t="shared" si="2"/>
        <v>0</v>
      </c>
      <c r="H59" s="1">
        <v>9.9429999999999996</v>
      </c>
      <c r="I59" s="1">
        <v>0.34770000000000001</v>
      </c>
      <c r="M59" s="1">
        <v>4.7699999999999996</v>
      </c>
      <c r="N59" s="1">
        <f t="shared" si="3"/>
        <v>1.6585289999999999</v>
      </c>
      <c r="O59">
        <f t="shared" si="29"/>
        <v>6.6000000000020265E-2</v>
      </c>
      <c r="P59">
        <f t="shared" si="30"/>
        <v>8.2530000000000108</v>
      </c>
      <c r="Q59">
        <f t="shared" si="31"/>
        <v>8.1869999999999905</v>
      </c>
      <c r="R59">
        <f t="shared" si="32"/>
        <v>1.2130000000000045</v>
      </c>
      <c r="S59">
        <f t="shared" si="33"/>
        <v>2.5289999999999893</v>
      </c>
      <c r="T59">
        <f t="shared" si="34"/>
        <v>0</v>
      </c>
      <c r="U59">
        <f t="shared" si="35"/>
        <v>0.16914999999999997</v>
      </c>
      <c r="V59">
        <f t="shared" si="21"/>
        <v>0</v>
      </c>
      <c r="W59">
        <f t="shared" si="22"/>
        <v>0</v>
      </c>
      <c r="X59">
        <f t="shared" si="36"/>
        <v>0</v>
      </c>
      <c r="Y59">
        <f t="shared" si="28"/>
        <v>-0.986482599942479</v>
      </c>
      <c r="Z59">
        <f t="shared" si="23"/>
        <v>0</v>
      </c>
      <c r="AA59">
        <f t="shared" si="24"/>
        <v>-0.486482599942479</v>
      </c>
      <c r="AB59">
        <f t="shared" si="25"/>
        <v>0.49059686038043321</v>
      </c>
      <c r="AC59">
        <f t="shared" si="26"/>
        <v>0</v>
      </c>
      <c r="AD59">
        <f t="shared" si="27"/>
        <v>0</v>
      </c>
    </row>
    <row r="60" spans="1:30" x14ac:dyDescent="0.3">
      <c r="A60" s="1">
        <v>59</v>
      </c>
      <c r="B60" s="1">
        <v>10</v>
      </c>
      <c r="C60" s="1">
        <v>10.6</v>
      </c>
      <c r="D60" s="1">
        <f t="shared" si="14"/>
        <v>49.800000000000004</v>
      </c>
      <c r="E60" s="1">
        <f t="shared" si="0"/>
        <v>0</v>
      </c>
      <c r="F60" s="1">
        <f t="shared" si="15"/>
        <v>496.65999999999997</v>
      </c>
      <c r="G60" s="1">
        <f t="shared" si="2"/>
        <v>0</v>
      </c>
      <c r="H60" s="1">
        <v>9.9429999999999996</v>
      </c>
      <c r="I60" s="1">
        <v>0.34770000000000001</v>
      </c>
      <c r="M60" s="1">
        <v>4.7699999999999996</v>
      </c>
      <c r="N60" s="1">
        <f t="shared" si="3"/>
        <v>1.6585289999999999</v>
      </c>
      <c r="O60">
        <f t="shared" si="29"/>
        <v>0.72300000000002029</v>
      </c>
      <c r="P60">
        <f t="shared" si="30"/>
        <v>8.9100000000000108</v>
      </c>
      <c r="Q60">
        <f t="shared" si="31"/>
        <v>8.1869999999999905</v>
      </c>
      <c r="R60">
        <f t="shared" si="32"/>
        <v>1.8700000000000045</v>
      </c>
      <c r="S60">
        <f t="shared" si="33"/>
        <v>1.8719999999999892</v>
      </c>
      <c r="T60">
        <f t="shared" si="34"/>
        <v>0.48315000000000002</v>
      </c>
      <c r="U60">
        <f t="shared" si="35"/>
        <v>0</v>
      </c>
      <c r="V60">
        <f t="shared" si="21"/>
        <v>1</v>
      </c>
      <c r="W60">
        <f t="shared" si="22"/>
        <v>0</v>
      </c>
      <c r="X60">
        <f t="shared" si="36"/>
        <v>0.48315000000000002</v>
      </c>
      <c r="Y60">
        <f t="shared" si="28"/>
        <v>1.8895599654874893</v>
      </c>
      <c r="Z60">
        <f t="shared" si="23"/>
        <v>1.3895599654874893</v>
      </c>
      <c r="AA60">
        <f t="shared" si="24"/>
        <v>0</v>
      </c>
      <c r="AB60">
        <f t="shared" si="25"/>
        <v>1.5834173643712863</v>
      </c>
      <c r="AC60">
        <f t="shared" si="26"/>
        <v>1.0834173643712863</v>
      </c>
      <c r="AD60">
        <f t="shared" si="27"/>
        <v>0</v>
      </c>
    </row>
    <row r="61" spans="1:30" x14ac:dyDescent="0.3">
      <c r="A61" s="1">
        <v>60</v>
      </c>
      <c r="B61" s="1">
        <v>10</v>
      </c>
      <c r="C61" s="1">
        <v>10.199999999999999</v>
      </c>
      <c r="D61" s="1">
        <f t="shared" si="14"/>
        <v>60</v>
      </c>
      <c r="E61" s="1">
        <f t="shared" si="0"/>
        <v>10</v>
      </c>
      <c r="F61" s="1">
        <f t="shared" si="15"/>
        <v>600.69999999999993</v>
      </c>
      <c r="G61" s="1">
        <f t="shared" si="2"/>
        <v>0.13999999999998636</v>
      </c>
      <c r="H61" s="1">
        <v>9.9429999999999996</v>
      </c>
      <c r="I61" s="1">
        <v>0.34770000000000001</v>
      </c>
      <c r="M61" s="1">
        <v>4.7699999999999996</v>
      </c>
      <c r="N61" s="1">
        <f t="shared" si="3"/>
        <v>1.6585289999999999</v>
      </c>
      <c r="O61">
        <f t="shared" si="29"/>
        <v>0.98000000000001997</v>
      </c>
      <c r="P61">
        <f t="shared" si="30"/>
        <v>9.1670000000000105</v>
      </c>
      <c r="Q61">
        <f t="shared" si="31"/>
        <v>8.1869999999999905</v>
      </c>
      <c r="R61">
        <f t="shared" si="32"/>
        <v>2.1270000000000042</v>
      </c>
      <c r="S61">
        <f t="shared" si="33"/>
        <v>1.6149999999999896</v>
      </c>
      <c r="T61">
        <f t="shared" si="34"/>
        <v>0.56629999999999969</v>
      </c>
      <c r="U61">
        <f t="shared" si="35"/>
        <v>0</v>
      </c>
      <c r="V61">
        <f t="shared" si="21"/>
        <v>2</v>
      </c>
      <c r="W61">
        <f t="shared" si="22"/>
        <v>0</v>
      </c>
      <c r="X61">
        <f t="shared" si="36"/>
        <v>0.56629999999999969</v>
      </c>
      <c r="Y61">
        <f t="shared" si="28"/>
        <v>0.7391429393155009</v>
      </c>
      <c r="Z61">
        <f t="shared" si="23"/>
        <v>1.6287029048029902</v>
      </c>
      <c r="AA61">
        <f t="shared" si="24"/>
        <v>0</v>
      </c>
      <c r="AB61">
        <f t="shared" si="25"/>
        <v>0.10812099133682511</v>
      </c>
      <c r="AC61">
        <f t="shared" si="26"/>
        <v>0.6915383557081114</v>
      </c>
      <c r="AD61">
        <f t="shared" si="27"/>
        <v>0</v>
      </c>
    </row>
    <row r="62" spans="1:30" x14ac:dyDescent="0.3">
      <c r="A62" s="1">
        <v>61</v>
      </c>
      <c r="B62" s="1">
        <v>11</v>
      </c>
      <c r="C62" s="1">
        <v>10</v>
      </c>
      <c r="D62" s="1">
        <f t="shared" si="14"/>
        <v>10</v>
      </c>
      <c r="E62" s="1">
        <f t="shared" si="0"/>
        <v>0</v>
      </c>
      <c r="F62" s="1">
        <f t="shared" si="15"/>
        <v>100</v>
      </c>
      <c r="G62" s="1">
        <f t="shared" si="2"/>
        <v>0</v>
      </c>
      <c r="H62" s="1">
        <v>9.9429999999999996</v>
      </c>
      <c r="I62" s="1">
        <v>0.34770000000000001</v>
      </c>
      <c r="M62" s="1">
        <v>4.7699999999999996</v>
      </c>
      <c r="N62" s="1">
        <f t="shared" si="3"/>
        <v>1.6585289999999999</v>
      </c>
      <c r="O62">
        <f t="shared" si="29"/>
        <v>1.0370000000000203</v>
      </c>
      <c r="P62">
        <f t="shared" si="30"/>
        <v>9.2240000000000109</v>
      </c>
      <c r="Q62">
        <f t="shared" si="31"/>
        <v>8.1869999999999905</v>
      </c>
      <c r="R62">
        <f t="shared" si="32"/>
        <v>2.1840000000000046</v>
      </c>
      <c r="S62">
        <f t="shared" si="33"/>
        <v>1.5579999999999892</v>
      </c>
      <c r="T62">
        <f t="shared" si="34"/>
        <v>0.44945000000000007</v>
      </c>
      <c r="U62">
        <f t="shared" si="35"/>
        <v>0</v>
      </c>
      <c r="V62">
        <f t="shared" si="21"/>
        <v>3</v>
      </c>
      <c r="W62">
        <f t="shared" si="22"/>
        <v>0</v>
      </c>
      <c r="X62">
        <f t="shared" si="36"/>
        <v>0.44945000000000007</v>
      </c>
      <c r="Y62">
        <f t="shared" si="28"/>
        <v>0.16393442622950929</v>
      </c>
      <c r="Z62">
        <f t="shared" si="23"/>
        <v>1.2926373310324994</v>
      </c>
      <c r="AA62">
        <f t="shared" si="24"/>
        <v>0</v>
      </c>
      <c r="AB62">
        <f t="shared" si="25"/>
        <v>-1.1951628507465348</v>
      </c>
      <c r="AC62">
        <f t="shared" si="26"/>
        <v>0</v>
      </c>
      <c r="AD62">
        <f t="shared" si="27"/>
        <v>-0.69516285074653483</v>
      </c>
    </row>
    <row r="63" spans="1:30" x14ac:dyDescent="0.3">
      <c r="A63" s="1">
        <v>62</v>
      </c>
      <c r="B63" s="1">
        <v>11</v>
      </c>
      <c r="C63" s="1">
        <v>10.7</v>
      </c>
      <c r="D63" s="1">
        <f t="shared" si="14"/>
        <v>20.7</v>
      </c>
      <c r="E63" s="1">
        <f t="shared" si="0"/>
        <v>0</v>
      </c>
      <c r="F63" s="1">
        <f t="shared" si="15"/>
        <v>214.48999999999998</v>
      </c>
      <c r="G63" s="1">
        <f t="shared" si="2"/>
        <v>0</v>
      </c>
      <c r="H63" s="1">
        <v>9.9429999999999996</v>
      </c>
      <c r="I63" s="1">
        <v>0.34770000000000001</v>
      </c>
      <c r="M63" s="1">
        <v>4.7699999999999996</v>
      </c>
      <c r="N63" s="1">
        <f t="shared" si="3"/>
        <v>1.6585289999999999</v>
      </c>
      <c r="O63">
        <f t="shared" si="29"/>
        <v>1.79400000000002</v>
      </c>
      <c r="P63">
        <f t="shared" si="30"/>
        <v>9.9810000000000105</v>
      </c>
      <c r="Q63">
        <f t="shared" si="31"/>
        <v>8.1869999999999905</v>
      </c>
      <c r="R63">
        <f t="shared" si="32"/>
        <v>2.9410000000000043</v>
      </c>
      <c r="S63">
        <f t="shared" si="33"/>
        <v>0.8009999999999895</v>
      </c>
      <c r="T63">
        <f t="shared" si="34"/>
        <v>1.0325999999999997</v>
      </c>
      <c r="U63">
        <f t="shared" si="35"/>
        <v>0</v>
      </c>
      <c r="V63">
        <f t="shared" si="21"/>
        <v>4</v>
      </c>
      <c r="W63">
        <f t="shared" si="22"/>
        <v>0</v>
      </c>
      <c r="X63">
        <f t="shared" si="36"/>
        <v>1.0325999999999997</v>
      </c>
      <c r="Y63">
        <f t="shared" si="28"/>
        <v>2.177164222030485</v>
      </c>
      <c r="Z63">
        <f t="shared" si="23"/>
        <v>2.9698015530629842</v>
      </c>
      <c r="AA63">
        <f t="shared" si="24"/>
        <v>0</v>
      </c>
      <c r="AB63">
        <f t="shared" si="25"/>
        <v>1.872554951078264</v>
      </c>
      <c r="AC63">
        <f t="shared" si="26"/>
        <v>1.372554951078264</v>
      </c>
      <c r="AD63">
        <f t="shared" si="27"/>
        <v>0</v>
      </c>
    </row>
    <row r="64" spans="1:30" x14ac:dyDescent="0.3">
      <c r="A64" s="1">
        <v>63</v>
      </c>
      <c r="B64" s="1">
        <v>11</v>
      </c>
      <c r="C64" s="1">
        <v>9.9</v>
      </c>
      <c r="D64" s="1">
        <f t="shared" si="14"/>
        <v>30.6</v>
      </c>
      <c r="E64" s="1">
        <f t="shared" si="0"/>
        <v>0</v>
      </c>
      <c r="F64" s="1">
        <f t="shared" si="15"/>
        <v>312.5</v>
      </c>
      <c r="G64" s="1">
        <f t="shared" si="2"/>
        <v>0</v>
      </c>
      <c r="H64" s="1">
        <v>9.9429999999999996</v>
      </c>
      <c r="I64" s="1">
        <v>0.34770000000000001</v>
      </c>
      <c r="M64" s="1">
        <v>4.7699999999999996</v>
      </c>
      <c r="N64" s="1">
        <f t="shared" si="3"/>
        <v>1.6585289999999999</v>
      </c>
      <c r="O64">
        <f t="shared" si="29"/>
        <v>1.7510000000000208</v>
      </c>
      <c r="P64">
        <f t="shared" si="30"/>
        <v>9.9810000000000105</v>
      </c>
      <c r="Q64">
        <f t="shared" si="31"/>
        <v>8.2299999999999898</v>
      </c>
      <c r="R64">
        <f t="shared" si="32"/>
        <v>2.898000000000005</v>
      </c>
      <c r="S64">
        <f t="shared" si="33"/>
        <v>0.84399999999998876</v>
      </c>
      <c r="T64">
        <f t="shared" si="34"/>
        <v>0.81575000000000042</v>
      </c>
      <c r="U64">
        <f t="shared" si="35"/>
        <v>0</v>
      </c>
      <c r="V64">
        <f t="shared" si="21"/>
        <v>5</v>
      </c>
      <c r="W64">
        <f t="shared" si="22"/>
        <v>0</v>
      </c>
      <c r="X64">
        <f t="shared" si="36"/>
        <v>0.81575000000000042</v>
      </c>
      <c r="Y64">
        <f t="shared" si="28"/>
        <v>-0.12366983031348651</v>
      </c>
      <c r="Z64">
        <f t="shared" si="23"/>
        <v>2.3461317227494978</v>
      </c>
      <c r="AA64">
        <f t="shared" si="24"/>
        <v>0</v>
      </c>
      <c r="AB64">
        <f t="shared" si="25"/>
        <v>-1.3476584088962507</v>
      </c>
      <c r="AC64">
        <f t="shared" si="26"/>
        <v>0</v>
      </c>
      <c r="AD64">
        <f t="shared" si="27"/>
        <v>-0.84765840889625066</v>
      </c>
    </row>
    <row r="65" spans="1:30" x14ac:dyDescent="0.3">
      <c r="A65" s="1">
        <v>64</v>
      </c>
      <c r="B65" s="1">
        <v>11</v>
      </c>
      <c r="C65" s="1">
        <v>9.4</v>
      </c>
      <c r="D65" s="1">
        <f t="shared" si="14"/>
        <v>40</v>
      </c>
      <c r="E65" s="1">
        <f t="shared" si="0"/>
        <v>0</v>
      </c>
      <c r="F65" s="1">
        <f t="shared" si="15"/>
        <v>400.86</v>
      </c>
      <c r="G65" s="1">
        <f t="shared" si="2"/>
        <v>0</v>
      </c>
      <c r="H65" s="1">
        <v>9.9429999999999996</v>
      </c>
      <c r="I65" s="1">
        <v>0.34770000000000001</v>
      </c>
      <c r="M65" s="1">
        <v>4.7699999999999996</v>
      </c>
      <c r="N65" s="1">
        <f t="shared" si="3"/>
        <v>1.6585289999999999</v>
      </c>
      <c r="O65">
        <f t="shared" si="29"/>
        <v>1.2080000000000215</v>
      </c>
      <c r="P65">
        <f t="shared" si="30"/>
        <v>9.9810000000000105</v>
      </c>
      <c r="Q65">
        <f t="shared" si="31"/>
        <v>8.772999999999989</v>
      </c>
      <c r="R65">
        <f t="shared" si="32"/>
        <v>2.3550000000000058</v>
      </c>
      <c r="S65">
        <f t="shared" si="33"/>
        <v>1.386999999999988</v>
      </c>
      <c r="T65">
        <f t="shared" si="34"/>
        <v>9.8900000000001098E-2</v>
      </c>
      <c r="U65">
        <f t="shared" si="35"/>
        <v>0.36914999999999926</v>
      </c>
      <c r="V65">
        <f t="shared" si="21"/>
        <v>6</v>
      </c>
      <c r="W65">
        <f t="shared" si="22"/>
        <v>0</v>
      </c>
      <c r="X65">
        <f t="shared" si="36"/>
        <v>9.8900000000001098E-2</v>
      </c>
      <c r="Y65">
        <f t="shared" si="28"/>
        <v>-1.5616911130284707</v>
      </c>
      <c r="Z65">
        <f t="shared" si="23"/>
        <v>0.28444060972102703</v>
      </c>
      <c r="AA65">
        <f t="shared" si="24"/>
        <v>-1.0616911130284707</v>
      </c>
      <c r="AB65">
        <f t="shared" si="25"/>
        <v>1.225433820416806</v>
      </c>
      <c r="AC65">
        <f t="shared" si="26"/>
        <v>0.72543382041680604</v>
      </c>
      <c r="AD65">
        <f t="shared" si="27"/>
        <v>0</v>
      </c>
    </row>
    <row r="66" spans="1:30" x14ac:dyDescent="0.3">
      <c r="A66" s="1">
        <v>65</v>
      </c>
      <c r="B66" s="1">
        <v>11</v>
      </c>
      <c r="C66" s="1">
        <v>10.199999999999999</v>
      </c>
      <c r="D66" s="1">
        <f t="shared" si="14"/>
        <v>50.2</v>
      </c>
      <c r="E66" s="1">
        <f t="shared" ref="E66:E121" si="37">IF(B66=B67,0,D66/6)</f>
        <v>0</v>
      </c>
      <c r="F66" s="1">
        <f t="shared" si="15"/>
        <v>504.9</v>
      </c>
      <c r="G66" s="1">
        <f t="shared" si="2"/>
        <v>0</v>
      </c>
      <c r="H66" s="1">
        <v>9.9429999999999996</v>
      </c>
      <c r="I66" s="1">
        <v>0.34770000000000001</v>
      </c>
      <c r="M66" s="1">
        <v>4.7699999999999996</v>
      </c>
      <c r="N66" s="1">
        <f t="shared" si="3"/>
        <v>1.6585289999999999</v>
      </c>
      <c r="O66">
        <f t="shared" si="29"/>
        <v>1.4650000000000212</v>
      </c>
      <c r="P66">
        <f t="shared" si="30"/>
        <v>10.23800000000001</v>
      </c>
      <c r="Q66">
        <f t="shared" si="31"/>
        <v>8.772999999999989</v>
      </c>
      <c r="R66">
        <f t="shared" si="32"/>
        <v>2.6120000000000054</v>
      </c>
      <c r="S66">
        <f t="shared" si="33"/>
        <v>1.1299999999999883</v>
      </c>
      <c r="T66">
        <f t="shared" si="34"/>
        <v>0.18205000000000077</v>
      </c>
      <c r="U66">
        <f t="shared" si="35"/>
        <v>0</v>
      </c>
      <c r="V66">
        <f t="shared" si="21"/>
        <v>7</v>
      </c>
      <c r="W66">
        <f t="shared" si="22"/>
        <v>0</v>
      </c>
      <c r="X66">
        <f t="shared" si="36"/>
        <v>0.18205000000000077</v>
      </c>
      <c r="Y66">
        <f t="shared" ref="Y66:Y97" si="38">(C66-$H$2)/$I$2</f>
        <v>0.7391429393155009</v>
      </c>
      <c r="Z66">
        <f t="shared" si="23"/>
        <v>0.52358354903652793</v>
      </c>
      <c r="AA66">
        <f t="shared" si="24"/>
        <v>0</v>
      </c>
      <c r="AB66">
        <f t="shared" si="25"/>
        <v>0.10812099133682511</v>
      </c>
      <c r="AC66">
        <f t="shared" si="26"/>
        <v>0.33355481175363116</v>
      </c>
      <c r="AD66">
        <f t="shared" si="27"/>
        <v>0</v>
      </c>
    </row>
    <row r="67" spans="1:30" x14ac:dyDescent="0.3">
      <c r="A67" s="1">
        <v>66</v>
      </c>
      <c r="B67" s="1">
        <v>11</v>
      </c>
      <c r="C67" s="1">
        <v>9.8000000000000007</v>
      </c>
      <c r="D67" s="1">
        <f t="shared" si="14"/>
        <v>60</v>
      </c>
      <c r="E67" s="1">
        <f t="shared" si="37"/>
        <v>10</v>
      </c>
      <c r="F67" s="1">
        <f t="shared" si="15"/>
        <v>600.94000000000005</v>
      </c>
      <c r="G67" s="1">
        <f t="shared" ref="G67:G121" si="39">IF(B67=B68,0,(F67-6*E67^2)/5)</f>
        <v>0.18800000000001091</v>
      </c>
      <c r="H67" s="1">
        <v>9.9429999999999996</v>
      </c>
      <c r="I67" s="1">
        <v>0.34770000000000001</v>
      </c>
      <c r="M67" s="1">
        <v>4.7699999999999996</v>
      </c>
      <c r="N67" s="1">
        <f t="shared" ref="N67:N121" si="40">$M$2*I67</f>
        <v>1.6585289999999999</v>
      </c>
      <c r="O67">
        <f t="shared" ref="O67:O98" si="41">C67-$H$2+O66</f>
        <v>1.3220000000000223</v>
      </c>
      <c r="P67">
        <f t="shared" ref="P67:P98" si="42">MAX(0,($C67-$H$2))+P66</f>
        <v>10.23800000000001</v>
      </c>
      <c r="Q67">
        <f t="shared" ref="Q67:Q98" si="43">MAX(0,($H$2-$C67))+Q66</f>
        <v>8.9159999999999879</v>
      </c>
      <c r="R67">
        <f t="shared" ref="R67:R98" si="44">MAX(0,($C67-$H$2+R66))</f>
        <v>2.4690000000000065</v>
      </c>
      <c r="S67">
        <f t="shared" ref="S67:S98" si="45">MAX(0,($H$2-$C67+S66))</f>
        <v>1.2729999999999873</v>
      </c>
      <c r="T67">
        <f t="shared" ref="T67:T98" si="46">MAX(0,($C67-$H$2-$L$2+T66))</f>
        <v>0</v>
      </c>
      <c r="U67">
        <f t="shared" ref="U67:U98" si="47">MAX(0,($H$2-$C67-$L$2+U66))</f>
        <v>0</v>
      </c>
      <c r="V67">
        <f t="shared" si="21"/>
        <v>0</v>
      </c>
      <c r="W67">
        <f t="shared" si="22"/>
        <v>0</v>
      </c>
      <c r="X67">
        <f t="shared" ref="X67:X98" si="48">MAX(0,($C67-$H$2-$L$2+X66))</f>
        <v>0</v>
      </c>
      <c r="Y67">
        <f t="shared" si="38"/>
        <v>-0.41127408685648231</v>
      </c>
      <c r="Z67">
        <f t="shared" si="23"/>
        <v>0</v>
      </c>
      <c r="AA67">
        <f t="shared" si="24"/>
        <v>0</v>
      </c>
      <c r="AB67">
        <f t="shared" si="25"/>
        <v>-0.51774628449102322</v>
      </c>
      <c r="AC67">
        <f t="shared" si="26"/>
        <v>0</v>
      </c>
      <c r="AD67">
        <f t="shared" si="27"/>
        <v>-1.7746284491023223E-2</v>
      </c>
    </row>
    <row r="68" spans="1:30" x14ac:dyDescent="0.3">
      <c r="A68" s="1">
        <v>67</v>
      </c>
      <c r="B68" s="1">
        <v>12</v>
      </c>
      <c r="C68" s="1">
        <v>9.6999999999999993</v>
      </c>
      <c r="D68" s="1">
        <f t="shared" ref="D68:D121" si="49">IF(B68=B67,C68+D67,C68)</f>
        <v>9.6999999999999993</v>
      </c>
      <c r="E68" s="1">
        <f t="shared" si="37"/>
        <v>0</v>
      </c>
      <c r="F68" s="1">
        <f t="shared" ref="F68:F121" si="50">IF(B68=B67,C68^2+F67,C68^2)</f>
        <v>94.089999999999989</v>
      </c>
      <c r="G68" s="1">
        <f t="shared" si="39"/>
        <v>0</v>
      </c>
      <c r="H68" s="1">
        <v>9.9429999999999996</v>
      </c>
      <c r="I68" s="1">
        <v>0.34770000000000001</v>
      </c>
      <c r="M68" s="1">
        <v>4.7699999999999996</v>
      </c>
      <c r="N68" s="1">
        <f t="shared" si="40"/>
        <v>1.6585289999999999</v>
      </c>
      <c r="O68">
        <f t="shared" si="41"/>
        <v>1.0790000000000219</v>
      </c>
      <c r="P68">
        <f t="shared" si="42"/>
        <v>10.23800000000001</v>
      </c>
      <c r="Q68">
        <f t="shared" si="43"/>
        <v>9.1589999999999883</v>
      </c>
      <c r="R68">
        <f t="shared" si="44"/>
        <v>2.2260000000000062</v>
      </c>
      <c r="S68">
        <f t="shared" si="45"/>
        <v>1.5159999999999876</v>
      </c>
      <c r="T68">
        <f t="shared" si="46"/>
        <v>0</v>
      </c>
      <c r="U68">
        <f t="shared" si="47"/>
        <v>6.9150000000000322E-2</v>
      </c>
      <c r="V68">
        <f t="shared" si="21"/>
        <v>0</v>
      </c>
      <c r="W68">
        <f t="shared" si="22"/>
        <v>0</v>
      </c>
      <c r="X68">
        <f t="shared" si="48"/>
        <v>0</v>
      </c>
      <c r="Y68">
        <f t="shared" si="38"/>
        <v>-0.69887834339948318</v>
      </c>
      <c r="Z68">
        <f t="shared" si="23"/>
        <v>0</v>
      </c>
      <c r="AA68">
        <f t="shared" si="24"/>
        <v>-0.19887834339948318</v>
      </c>
      <c r="AB68">
        <f t="shared" si="25"/>
        <v>4.0084354629023308E-2</v>
      </c>
      <c r="AC68">
        <f t="shared" si="26"/>
        <v>0</v>
      </c>
      <c r="AD68">
        <f t="shared" si="27"/>
        <v>0</v>
      </c>
    </row>
    <row r="69" spans="1:30" x14ac:dyDescent="0.3">
      <c r="A69" s="1">
        <v>68</v>
      </c>
      <c r="B69" s="1">
        <v>12</v>
      </c>
      <c r="C69" s="1">
        <v>9.9</v>
      </c>
      <c r="D69" s="1">
        <f t="shared" si="49"/>
        <v>19.600000000000001</v>
      </c>
      <c r="E69" s="1">
        <f t="shared" si="37"/>
        <v>0</v>
      </c>
      <c r="F69" s="1">
        <f t="shared" si="50"/>
        <v>192.1</v>
      </c>
      <c r="G69" s="1">
        <f t="shared" si="39"/>
        <v>0</v>
      </c>
      <c r="H69" s="1">
        <v>9.9429999999999996</v>
      </c>
      <c r="I69" s="1">
        <v>0.34770000000000001</v>
      </c>
      <c r="M69" s="1">
        <v>4.7699999999999996</v>
      </c>
      <c r="N69" s="1">
        <f t="shared" si="40"/>
        <v>1.6585289999999999</v>
      </c>
      <c r="O69">
        <f t="shared" si="41"/>
        <v>1.0360000000000227</v>
      </c>
      <c r="P69">
        <f t="shared" si="42"/>
        <v>10.23800000000001</v>
      </c>
      <c r="Q69">
        <f t="shared" si="43"/>
        <v>9.2019999999999875</v>
      </c>
      <c r="R69">
        <f t="shared" si="44"/>
        <v>2.1830000000000069</v>
      </c>
      <c r="S69">
        <f t="shared" si="45"/>
        <v>1.5589999999999868</v>
      </c>
      <c r="T69">
        <f t="shared" si="46"/>
        <v>0</v>
      </c>
      <c r="U69">
        <f t="shared" si="47"/>
        <v>0</v>
      </c>
      <c r="V69">
        <f t="shared" si="21"/>
        <v>0</v>
      </c>
      <c r="W69">
        <f t="shared" si="22"/>
        <v>0</v>
      </c>
      <c r="X69">
        <f t="shared" si="48"/>
        <v>0</v>
      </c>
      <c r="Y69">
        <f t="shared" si="38"/>
        <v>-0.12366983031348651</v>
      </c>
      <c r="Z69">
        <f t="shared" si="23"/>
        <v>0</v>
      </c>
      <c r="AA69">
        <f t="shared" si="24"/>
        <v>0</v>
      </c>
      <c r="AB69">
        <f t="shared" si="25"/>
        <v>-1.3476584088962507</v>
      </c>
      <c r="AC69">
        <f t="shared" si="26"/>
        <v>0</v>
      </c>
      <c r="AD69">
        <f t="shared" si="27"/>
        <v>-0.84765840889625066</v>
      </c>
    </row>
    <row r="70" spans="1:30" x14ac:dyDescent="0.3">
      <c r="A70" s="1">
        <v>69</v>
      </c>
      <c r="B70" s="1">
        <v>12</v>
      </c>
      <c r="C70" s="1">
        <v>10</v>
      </c>
      <c r="D70" s="1">
        <f t="shared" si="49"/>
        <v>29.6</v>
      </c>
      <c r="E70" s="1">
        <f t="shared" si="37"/>
        <v>0</v>
      </c>
      <c r="F70" s="1">
        <f t="shared" si="50"/>
        <v>292.10000000000002</v>
      </c>
      <c r="G70" s="1">
        <f t="shared" si="39"/>
        <v>0</v>
      </c>
      <c r="H70" s="1">
        <v>9.9429999999999996</v>
      </c>
      <c r="I70" s="1">
        <v>0.34770000000000001</v>
      </c>
      <c r="M70" s="1">
        <v>4.7699999999999996</v>
      </c>
      <c r="N70" s="1">
        <f t="shared" si="40"/>
        <v>1.6585289999999999</v>
      </c>
      <c r="O70">
        <f t="shared" si="41"/>
        <v>1.0930000000000231</v>
      </c>
      <c r="P70">
        <f t="shared" si="42"/>
        <v>10.295000000000011</v>
      </c>
      <c r="Q70">
        <f t="shared" si="43"/>
        <v>9.2019999999999875</v>
      </c>
      <c r="R70">
        <f t="shared" si="44"/>
        <v>2.2400000000000073</v>
      </c>
      <c r="S70">
        <f t="shared" si="45"/>
        <v>1.5019999999999865</v>
      </c>
      <c r="T70">
        <f t="shared" si="46"/>
        <v>0</v>
      </c>
      <c r="U70">
        <f t="shared" si="47"/>
        <v>0</v>
      </c>
      <c r="V70">
        <f t="shared" si="21"/>
        <v>0</v>
      </c>
      <c r="W70">
        <f t="shared" si="22"/>
        <v>0</v>
      </c>
      <c r="X70">
        <f t="shared" si="48"/>
        <v>0</v>
      </c>
      <c r="Y70">
        <f t="shared" si="38"/>
        <v>0.16393442622950929</v>
      </c>
      <c r="Z70">
        <f t="shared" si="23"/>
        <v>0</v>
      </c>
      <c r="AA70">
        <f t="shared" si="24"/>
        <v>0</v>
      </c>
      <c r="AB70">
        <f t="shared" si="25"/>
        <v>-1.1951628507465348</v>
      </c>
      <c r="AC70">
        <f t="shared" si="26"/>
        <v>0</v>
      </c>
      <c r="AD70">
        <f t="shared" si="27"/>
        <v>0</v>
      </c>
    </row>
    <row r="71" spans="1:30" x14ac:dyDescent="0.3">
      <c r="A71" s="1">
        <v>70</v>
      </c>
      <c r="B71" s="1">
        <v>12</v>
      </c>
      <c r="C71" s="1">
        <v>9.6</v>
      </c>
      <c r="D71" s="1">
        <f t="shared" si="49"/>
        <v>39.200000000000003</v>
      </c>
      <c r="E71" s="1">
        <f t="shared" si="37"/>
        <v>0</v>
      </c>
      <c r="F71" s="1">
        <f t="shared" si="50"/>
        <v>384.26</v>
      </c>
      <c r="G71" s="1">
        <f t="shared" si="39"/>
        <v>0</v>
      </c>
      <c r="H71" s="1">
        <v>9.9429999999999996</v>
      </c>
      <c r="I71" s="1">
        <v>0.34770000000000001</v>
      </c>
      <c r="M71" s="1">
        <v>4.7699999999999996</v>
      </c>
      <c r="N71" s="1">
        <f t="shared" si="40"/>
        <v>1.6585289999999999</v>
      </c>
      <c r="O71">
        <f t="shared" si="41"/>
        <v>0.75000000000002309</v>
      </c>
      <c r="P71">
        <f t="shared" si="42"/>
        <v>10.295000000000011</v>
      </c>
      <c r="Q71">
        <f t="shared" si="43"/>
        <v>9.5449999999999875</v>
      </c>
      <c r="R71">
        <f t="shared" si="44"/>
        <v>1.8970000000000073</v>
      </c>
      <c r="S71">
        <f t="shared" si="45"/>
        <v>1.8449999999999864</v>
      </c>
      <c r="T71">
        <f t="shared" si="46"/>
        <v>0</v>
      </c>
      <c r="U71">
        <f t="shared" si="47"/>
        <v>0.16914999999999997</v>
      </c>
      <c r="V71">
        <f t="shared" si="21"/>
        <v>0</v>
      </c>
      <c r="W71">
        <f t="shared" si="22"/>
        <v>0</v>
      </c>
      <c r="X71">
        <f t="shared" si="48"/>
        <v>0</v>
      </c>
      <c r="Y71">
        <f t="shared" si="38"/>
        <v>-0.986482599942479</v>
      </c>
      <c r="Z71">
        <f t="shared" si="23"/>
        <v>0</v>
      </c>
      <c r="AA71">
        <f t="shared" si="24"/>
        <v>-0.486482599942479</v>
      </c>
      <c r="AB71">
        <f t="shared" si="25"/>
        <v>0.49059686038043321</v>
      </c>
      <c r="AC71">
        <f t="shared" si="26"/>
        <v>0</v>
      </c>
      <c r="AD71">
        <f t="shared" si="27"/>
        <v>0</v>
      </c>
    </row>
    <row r="72" spans="1:30" x14ac:dyDescent="0.3">
      <c r="A72" s="1">
        <v>71</v>
      </c>
      <c r="B72" s="1">
        <v>12</v>
      </c>
      <c r="C72" s="1">
        <v>10.4</v>
      </c>
      <c r="D72" s="1">
        <f t="shared" si="49"/>
        <v>49.6</v>
      </c>
      <c r="E72" s="1">
        <f t="shared" si="37"/>
        <v>0</v>
      </c>
      <c r="F72" s="1">
        <f t="shared" si="50"/>
        <v>492.42</v>
      </c>
      <c r="G72" s="1">
        <f t="shared" si="39"/>
        <v>0</v>
      </c>
      <c r="H72" s="1">
        <v>9.9429999999999996</v>
      </c>
      <c r="I72" s="1">
        <v>0.34770000000000001</v>
      </c>
      <c r="M72" s="1">
        <v>4.7699999999999996</v>
      </c>
      <c r="N72" s="1">
        <f t="shared" si="40"/>
        <v>1.6585289999999999</v>
      </c>
      <c r="O72">
        <f t="shared" si="41"/>
        <v>1.2070000000000238</v>
      </c>
      <c r="P72">
        <f t="shared" si="42"/>
        <v>10.752000000000011</v>
      </c>
      <c r="Q72">
        <f t="shared" si="43"/>
        <v>9.5449999999999875</v>
      </c>
      <c r="R72">
        <f t="shared" si="44"/>
        <v>2.3540000000000081</v>
      </c>
      <c r="S72">
        <f t="shared" si="45"/>
        <v>1.3879999999999857</v>
      </c>
      <c r="T72">
        <f t="shared" si="46"/>
        <v>0.28315000000000073</v>
      </c>
      <c r="U72">
        <f t="shared" si="47"/>
        <v>0</v>
      </c>
      <c r="V72">
        <f t="shared" si="21"/>
        <v>1</v>
      </c>
      <c r="W72">
        <f t="shared" si="22"/>
        <v>0</v>
      </c>
      <c r="X72">
        <f t="shared" si="48"/>
        <v>0.28315000000000073</v>
      </c>
      <c r="Y72">
        <f t="shared" si="38"/>
        <v>1.3143514524014976</v>
      </c>
      <c r="Z72">
        <f t="shared" si="23"/>
        <v>0.81435145240149764</v>
      </c>
      <c r="AA72">
        <f t="shared" si="24"/>
        <v>0</v>
      </c>
      <c r="AB72">
        <f t="shared" si="25"/>
        <v>0.92966097149613636</v>
      </c>
      <c r="AC72">
        <f t="shared" si="26"/>
        <v>0.42966097149613636</v>
      </c>
      <c r="AD72">
        <f t="shared" si="27"/>
        <v>0</v>
      </c>
    </row>
    <row r="73" spans="1:30" x14ac:dyDescent="0.3">
      <c r="A73" s="1">
        <v>72</v>
      </c>
      <c r="B73" s="1">
        <v>12</v>
      </c>
      <c r="C73" s="1">
        <v>9.6</v>
      </c>
      <c r="D73" s="1">
        <f t="shared" si="49"/>
        <v>59.2</v>
      </c>
      <c r="E73" s="1">
        <f t="shared" si="37"/>
        <v>9.8666666666666671</v>
      </c>
      <c r="F73" s="1">
        <f t="shared" si="50"/>
        <v>584.58000000000004</v>
      </c>
      <c r="G73" s="1">
        <f t="shared" si="39"/>
        <v>9.4666666666648774E-2</v>
      </c>
      <c r="H73" s="1">
        <v>9.9429999999999996</v>
      </c>
      <c r="I73" s="1">
        <v>0.34770000000000001</v>
      </c>
      <c r="M73" s="1">
        <v>4.7699999999999996</v>
      </c>
      <c r="N73" s="1">
        <f t="shared" si="40"/>
        <v>1.6585289999999999</v>
      </c>
      <c r="O73">
        <f t="shared" si="41"/>
        <v>0.86400000000002386</v>
      </c>
      <c r="P73">
        <f t="shared" si="42"/>
        <v>10.752000000000011</v>
      </c>
      <c r="Q73">
        <f t="shared" si="43"/>
        <v>9.8879999999999875</v>
      </c>
      <c r="R73">
        <f t="shared" si="44"/>
        <v>2.0110000000000081</v>
      </c>
      <c r="S73">
        <f t="shared" si="45"/>
        <v>1.7309999999999857</v>
      </c>
      <c r="T73">
        <f t="shared" si="46"/>
        <v>0</v>
      </c>
      <c r="U73">
        <f t="shared" si="47"/>
        <v>0.16914999999999997</v>
      </c>
      <c r="V73">
        <f t="shared" si="21"/>
        <v>0</v>
      </c>
      <c r="W73">
        <f t="shared" si="22"/>
        <v>0</v>
      </c>
      <c r="X73">
        <f t="shared" si="48"/>
        <v>0</v>
      </c>
      <c r="Y73">
        <f t="shared" si="38"/>
        <v>-0.986482599942479</v>
      </c>
      <c r="Z73">
        <f t="shared" si="23"/>
        <v>0</v>
      </c>
      <c r="AA73">
        <f t="shared" si="24"/>
        <v>-0.486482599942479</v>
      </c>
      <c r="AB73">
        <f t="shared" si="25"/>
        <v>0.49059686038043321</v>
      </c>
      <c r="AC73">
        <f t="shared" si="26"/>
        <v>0.42025783187656957</v>
      </c>
      <c r="AD73">
        <f t="shared" si="27"/>
        <v>0</v>
      </c>
    </row>
    <row r="74" spans="1:30" x14ac:dyDescent="0.3">
      <c r="A74" s="1">
        <v>73</v>
      </c>
      <c r="B74" s="1">
        <v>13</v>
      </c>
      <c r="C74" s="1">
        <v>9.6</v>
      </c>
      <c r="D74" s="1">
        <f t="shared" si="49"/>
        <v>9.6</v>
      </c>
      <c r="E74" s="1">
        <f t="shared" si="37"/>
        <v>0</v>
      </c>
      <c r="F74" s="1">
        <f t="shared" si="50"/>
        <v>92.16</v>
      </c>
      <c r="G74" s="1">
        <f t="shared" si="39"/>
        <v>0</v>
      </c>
      <c r="H74" s="1">
        <v>9.9429999999999996</v>
      </c>
      <c r="I74" s="1">
        <v>0.34770000000000001</v>
      </c>
      <c r="M74" s="1">
        <v>4.7699999999999996</v>
      </c>
      <c r="N74" s="1">
        <f t="shared" si="40"/>
        <v>1.6585289999999999</v>
      </c>
      <c r="O74">
        <f t="shared" si="41"/>
        <v>0.52100000000002389</v>
      </c>
      <c r="P74">
        <f t="shared" si="42"/>
        <v>10.752000000000011</v>
      </c>
      <c r="Q74">
        <f t="shared" si="43"/>
        <v>10.230999999999987</v>
      </c>
      <c r="R74">
        <f t="shared" si="44"/>
        <v>1.6680000000000081</v>
      </c>
      <c r="S74">
        <f t="shared" si="45"/>
        <v>2.0739999999999856</v>
      </c>
      <c r="T74">
        <f t="shared" si="46"/>
        <v>0</v>
      </c>
      <c r="U74">
        <f t="shared" si="47"/>
        <v>0.33829999999999993</v>
      </c>
      <c r="V74">
        <f t="shared" si="21"/>
        <v>0</v>
      </c>
      <c r="W74">
        <f t="shared" si="22"/>
        <v>0</v>
      </c>
      <c r="X74">
        <f t="shared" si="48"/>
        <v>0</v>
      </c>
      <c r="Y74">
        <f t="shared" si="38"/>
        <v>-0.986482599942479</v>
      </c>
      <c r="Z74">
        <f t="shared" si="23"/>
        <v>0</v>
      </c>
      <c r="AA74">
        <f t="shared" si="24"/>
        <v>0</v>
      </c>
      <c r="AB74">
        <f t="shared" si="25"/>
        <v>0.49059686038043321</v>
      </c>
      <c r="AC74">
        <f t="shared" si="26"/>
        <v>0.41085469225700277</v>
      </c>
      <c r="AD74">
        <f t="shared" si="27"/>
        <v>0</v>
      </c>
    </row>
    <row r="75" spans="1:30" x14ac:dyDescent="0.3">
      <c r="A75" s="1">
        <v>74</v>
      </c>
      <c r="B75" s="1">
        <v>13</v>
      </c>
      <c r="C75" s="1">
        <v>9.6</v>
      </c>
      <c r="D75" s="1">
        <f t="shared" si="49"/>
        <v>19.2</v>
      </c>
      <c r="E75" s="1">
        <f t="shared" si="37"/>
        <v>0</v>
      </c>
      <c r="F75" s="1">
        <f t="shared" si="50"/>
        <v>184.32</v>
      </c>
      <c r="G75" s="1">
        <f t="shared" si="39"/>
        <v>0</v>
      </c>
      <c r="H75" s="1">
        <v>9.9429999999999996</v>
      </c>
      <c r="I75" s="1">
        <v>0.34770000000000001</v>
      </c>
      <c r="M75" s="1">
        <v>4.7699999999999996</v>
      </c>
      <c r="N75" s="1">
        <f t="shared" si="40"/>
        <v>1.6585289999999999</v>
      </c>
      <c r="O75">
        <f t="shared" si="41"/>
        <v>0.17800000000002392</v>
      </c>
      <c r="P75">
        <f t="shared" si="42"/>
        <v>10.752000000000011</v>
      </c>
      <c r="Q75">
        <f t="shared" si="43"/>
        <v>10.573999999999987</v>
      </c>
      <c r="R75">
        <f t="shared" si="44"/>
        <v>1.3250000000000082</v>
      </c>
      <c r="S75">
        <f t="shared" si="45"/>
        <v>2.4169999999999856</v>
      </c>
      <c r="T75">
        <f t="shared" si="46"/>
        <v>0</v>
      </c>
      <c r="U75">
        <f t="shared" si="47"/>
        <v>0.50744999999999996</v>
      </c>
      <c r="V75">
        <f t="shared" si="21"/>
        <v>0</v>
      </c>
      <c r="W75">
        <f t="shared" si="22"/>
        <v>0</v>
      </c>
      <c r="X75">
        <f t="shared" si="48"/>
        <v>0</v>
      </c>
      <c r="Y75">
        <f t="shared" si="38"/>
        <v>-0.986482599942479</v>
      </c>
      <c r="Z75">
        <f t="shared" si="23"/>
        <v>0</v>
      </c>
      <c r="AA75">
        <f t="shared" si="24"/>
        <v>-0.486482599942479</v>
      </c>
      <c r="AB75">
        <f t="shared" si="25"/>
        <v>0.49059686038043321</v>
      </c>
      <c r="AC75">
        <f t="shared" si="26"/>
        <v>0.40145155263743598</v>
      </c>
      <c r="AD75">
        <f t="shared" si="27"/>
        <v>0</v>
      </c>
    </row>
    <row r="76" spans="1:30" x14ac:dyDescent="0.3">
      <c r="A76" s="1">
        <v>75</v>
      </c>
      <c r="B76" s="1">
        <v>13</v>
      </c>
      <c r="C76" s="1">
        <v>10.3</v>
      </c>
      <c r="D76" s="1">
        <f t="shared" si="49"/>
        <v>29.5</v>
      </c>
      <c r="E76" s="1">
        <f t="shared" si="37"/>
        <v>0</v>
      </c>
      <c r="F76" s="1">
        <f t="shared" si="50"/>
        <v>290.41000000000003</v>
      </c>
      <c r="G76" s="1">
        <f t="shared" si="39"/>
        <v>0</v>
      </c>
      <c r="H76" s="1">
        <v>9.9429999999999996</v>
      </c>
      <c r="I76" s="1">
        <v>0.34770000000000001</v>
      </c>
      <c r="M76" s="1">
        <v>4.7699999999999996</v>
      </c>
      <c r="N76" s="1">
        <f t="shared" si="40"/>
        <v>1.6585289999999999</v>
      </c>
      <c r="O76">
        <f t="shared" si="41"/>
        <v>0.53500000000002501</v>
      </c>
      <c r="P76">
        <f t="shared" si="42"/>
        <v>11.109000000000012</v>
      </c>
      <c r="Q76">
        <f t="shared" si="43"/>
        <v>10.573999999999987</v>
      </c>
      <c r="R76">
        <f t="shared" si="44"/>
        <v>1.6820000000000093</v>
      </c>
      <c r="S76">
        <f t="shared" si="45"/>
        <v>2.0599999999999845</v>
      </c>
      <c r="T76">
        <f t="shared" si="46"/>
        <v>0.18315000000000109</v>
      </c>
      <c r="U76">
        <f t="shared" si="47"/>
        <v>0</v>
      </c>
      <c r="V76">
        <f t="shared" si="21"/>
        <v>1</v>
      </c>
      <c r="W76">
        <f t="shared" si="22"/>
        <v>0</v>
      </c>
      <c r="X76">
        <f t="shared" si="48"/>
        <v>0.18315000000000109</v>
      </c>
      <c r="Y76">
        <f t="shared" si="38"/>
        <v>1.0267471958585017</v>
      </c>
      <c r="Z76">
        <f t="shared" si="23"/>
        <v>0.52674719585850172</v>
      </c>
      <c r="AA76">
        <f t="shared" si="24"/>
        <v>0</v>
      </c>
      <c r="AB76">
        <f t="shared" si="25"/>
        <v>0.54809555214191641</v>
      </c>
      <c r="AC76">
        <f t="shared" si="26"/>
        <v>0.44954710477935239</v>
      </c>
      <c r="AD76">
        <f t="shared" si="27"/>
        <v>0</v>
      </c>
    </row>
    <row r="77" spans="1:30" x14ac:dyDescent="0.3">
      <c r="A77" s="1">
        <v>76</v>
      </c>
      <c r="B77" s="1">
        <v>13</v>
      </c>
      <c r="C77" s="1">
        <v>9.8000000000000007</v>
      </c>
      <c r="D77" s="1">
        <f t="shared" si="49"/>
        <v>39.299999999999997</v>
      </c>
      <c r="E77" s="1">
        <f t="shared" si="37"/>
        <v>0</v>
      </c>
      <c r="F77" s="1">
        <f t="shared" si="50"/>
        <v>386.45000000000005</v>
      </c>
      <c r="G77" s="1">
        <f t="shared" si="39"/>
        <v>0</v>
      </c>
      <c r="H77" s="1">
        <v>9.9429999999999996</v>
      </c>
      <c r="I77" s="1">
        <v>0.34770000000000001</v>
      </c>
      <c r="M77" s="1">
        <v>4.7699999999999996</v>
      </c>
      <c r="N77" s="1">
        <f t="shared" si="40"/>
        <v>1.6585289999999999</v>
      </c>
      <c r="O77">
        <f t="shared" si="41"/>
        <v>0.39200000000002611</v>
      </c>
      <c r="P77">
        <f t="shared" si="42"/>
        <v>11.109000000000012</v>
      </c>
      <c r="Q77">
        <f t="shared" si="43"/>
        <v>10.716999999999986</v>
      </c>
      <c r="R77">
        <f t="shared" si="44"/>
        <v>1.5390000000000104</v>
      </c>
      <c r="S77">
        <f t="shared" si="45"/>
        <v>2.2029999999999834</v>
      </c>
      <c r="T77">
        <f t="shared" si="46"/>
        <v>0</v>
      </c>
      <c r="U77">
        <f t="shared" si="47"/>
        <v>0</v>
      </c>
      <c r="V77">
        <f t="shared" si="21"/>
        <v>0</v>
      </c>
      <c r="W77">
        <f t="shared" si="22"/>
        <v>0</v>
      </c>
      <c r="X77">
        <f t="shared" si="48"/>
        <v>0</v>
      </c>
      <c r="Y77">
        <f t="shared" si="38"/>
        <v>-0.41127408685648231</v>
      </c>
      <c r="Z77">
        <f t="shared" si="23"/>
        <v>0</v>
      </c>
      <c r="AA77">
        <f t="shared" si="24"/>
        <v>0</v>
      </c>
      <c r="AB77">
        <f t="shared" si="25"/>
        <v>-0.51774628449102322</v>
      </c>
      <c r="AC77">
        <f t="shared" si="26"/>
        <v>0</v>
      </c>
      <c r="AD77">
        <f t="shared" si="27"/>
        <v>-1.7746284491023223E-2</v>
      </c>
    </row>
    <row r="78" spans="1:30" x14ac:dyDescent="0.3">
      <c r="A78" s="1">
        <v>77</v>
      </c>
      <c r="B78" s="1">
        <v>13</v>
      </c>
      <c r="C78" s="1">
        <v>9.8000000000000007</v>
      </c>
      <c r="D78" s="1">
        <f t="shared" si="49"/>
        <v>49.099999999999994</v>
      </c>
      <c r="E78" s="1">
        <f t="shared" si="37"/>
        <v>0</v>
      </c>
      <c r="F78" s="1">
        <f t="shared" si="50"/>
        <v>482.49000000000007</v>
      </c>
      <c r="G78" s="1">
        <f t="shared" si="39"/>
        <v>0</v>
      </c>
      <c r="H78" s="1">
        <v>9.9429999999999996</v>
      </c>
      <c r="I78" s="1">
        <v>0.34770000000000001</v>
      </c>
      <c r="M78" s="1">
        <v>4.7699999999999996</v>
      </c>
      <c r="N78" s="1">
        <f t="shared" si="40"/>
        <v>1.6585289999999999</v>
      </c>
      <c r="O78">
        <f t="shared" si="41"/>
        <v>0.2490000000000272</v>
      </c>
      <c r="P78">
        <f t="shared" si="42"/>
        <v>11.109000000000012</v>
      </c>
      <c r="Q78">
        <f t="shared" si="43"/>
        <v>10.859999999999985</v>
      </c>
      <c r="R78">
        <f t="shared" si="44"/>
        <v>1.3960000000000115</v>
      </c>
      <c r="S78">
        <f t="shared" si="45"/>
        <v>2.3459999999999823</v>
      </c>
      <c r="T78">
        <f t="shared" si="46"/>
        <v>0</v>
      </c>
      <c r="U78">
        <f t="shared" si="47"/>
        <v>0</v>
      </c>
      <c r="V78">
        <f t="shared" si="21"/>
        <v>0</v>
      </c>
      <c r="W78">
        <f t="shared" si="22"/>
        <v>0</v>
      </c>
      <c r="X78">
        <f t="shared" si="48"/>
        <v>0</v>
      </c>
      <c r="Y78">
        <f t="shared" si="38"/>
        <v>-0.41127408685648231</v>
      </c>
      <c r="Z78">
        <f t="shared" si="23"/>
        <v>0</v>
      </c>
      <c r="AA78">
        <f t="shared" si="24"/>
        <v>0</v>
      </c>
      <c r="AB78">
        <f t="shared" si="25"/>
        <v>-0.51774628449102322</v>
      </c>
      <c r="AC78">
        <f t="shared" si="26"/>
        <v>0</v>
      </c>
      <c r="AD78">
        <f t="shared" si="27"/>
        <v>0</v>
      </c>
    </row>
    <row r="79" spans="1:30" x14ac:dyDescent="0.3">
      <c r="A79" s="1">
        <v>78</v>
      </c>
      <c r="B79" s="1">
        <v>13</v>
      </c>
      <c r="C79" s="1">
        <v>10.4</v>
      </c>
      <c r="D79" s="1">
        <f t="shared" si="49"/>
        <v>59.499999999999993</v>
      </c>
      <c r="E79" s="1">
        <f t="shared" si="37"/>
        <v>9.9166666666666661</v>
      </c>
      <c r="F79" s="1">
        <f t="shared" si="50"/>
        <v>590.65000000000009</v>
      </c>
      <c r="G79" s="1">
        <f t="shared" si="39"/>
        <v>0.12166666666669243</v>
      </c>
      <c r="H79" s="1">
        <v>9.9429999999999996</v>
      </c>
      <c r="I79" s="1">
        <v>0.34770000000000001</v>
      </c>
      <c r="M79" s="1">
        <v>4.7699999999999996</v>
      </c>
      <c r="N79" s="1">
        <f t="shared" si="40"/>
        <v>1.6585289999999999</v>
      </c>
      <c r="O79">
        <f t="shared" si="41"/>
        <v>0.70600000000002794</v>
      </c>
      <c r="P79">
        <f t="shared" si="42"/>
        <v>11.566000000000013</v>
      </c>
      <c r="Q79">
        <f t="shared" si="43"/>
        <v>10.859999999999985</v>
      </c>
      <c r="R79">
        <f t="shared" si="44"/>
        <v>1.8530000000000122</v>
      </c>
      <c r="S79">
        <f t="shared" si="45"/>
        <v>1.8889999999999816</v>
      </c>
      <c r="T79">
        <f t="shared" si="46"/>
        <v>0.28315000000000073</v>
      </c>
      <c r="U79">
        <f t="shared" si="47"/>
        <v>0</v>
      </c>
      <c r="V79">
        <f t="shared" si="21"/>
        <v>1</v>
      </c>
      <c r="W79">
        <f t="shared" si="22"/>
        <v>0</v>
      </c>
      <c r="X79">
        <f t="shared" si="48"/>
        <v>0.28315000000000073</v>
      </c>
      <c r="Y79">
        <f t="shared" si="38"/>
        <v>1.3143514524014976</v>
      </c>
      <c r="Z79">
        <f t="shared" si="23"/>
        <v>0.81435145240149764</v>
      </c>
      <c r="AA79">
        <f t="shared" si="24"/>
        <v>0</v>
      </c>
      <c r="AB79">
        <f t="shared" si="25"/>
        <v>0.92966097149613636</v>
      </c>
      <c r="AC79">
        <f t="shared" si="26"/>
        <v>0.42966097149613636</v>
      </c>
      <c r="AD79">
        <f t="shared" si="27"/>
        <v>0</v>
      </c>
    </row>
    <row r="80" spans="1:30" x14ac:dyDescent="0.3">
      <c r="A80" s="1">
        <v>79</v>
      </c>
      <c r="B80" s="1">
        <v>14</v>
      </c>
      <c r="C80" s="1">
        <v>10.199999999999999</v>
      </c>
      <c r="D80" s="1">
        <f t="shared" si="49"/>
        <v>10.199999999999999</v>
      </c>
      <c r="E80" s="1">
        <f t="shared" si="37"/>
        <v>0</v>
      </c>
      <c r="F80" s="1">
        <f t="shared" si="50"/>
        <v>104.03999999999999</v>
      </c>
      <c r="G80" s="1">
        <f t="shared" si="39"/>
        <v>0</v>
      </c>
      <c r="H80" s="1">
        <v>9.9429999999999996</v>
      </c>
      <c r="I80" s="1">
        <v>0.34770000000000001</v>
      </c>
      <c r="M80" s="1">
        <v>4.7699999999999996</v>
      </c>
      <c r="N80" s="1">
        <f t="shared" si="40"/>
        <v>1.6585289999999999</v>
      </c>
      <c r="O80">
        <f t="shared" si="41"/>
        <v>0.96300000000002761</v>
      </c>
      <c r="P80">
        <f t="shared" si="42"/>
        <v>11.823000000000013</v>
      </c>
      <c r="Q80">
        <f t="shared" si="43"/>
        <v>10.859999999999985</v>
      </c>
      <c r="R80">
        <f t="shared" si="44"/>
        <v>2.1100000000000119</v>
      </c>
      <c r="S80">
        <f t="shared" si="45"/>
        <v>1.6319999999999819</v>
      </c>
      <c r="T80">
        <f t="shared" si="46"/>
        <v>0.3663000000000004</v>
      </c>
      <c r="U80">
        <f t="shared" si="47"/>
        <v>0</v>
      </c>
      <c r="V80">
        <f t="shared" si="21"/>
        <v>2</v>
      </c>
      <c r="W80">
        <f t="shared" si="22"/>
        <v>0</v>
      </c>
      <c r="X80">
        <f t="shared" si="48"/>
        <v>0.3663000000000004</v>
      </c>
      <c r="Y80">
        <f t="shared" si="38"/>
        <v>0.7391429393155009</v>
      </c>
      <c r="Z80">
        <f t="shared" si="23"/>
        <v>1.0534943917169985</v>
      </c>
      <c r="AA80">
        <f t="shared" si="24"/>
        <v>0</v>
      </c>
      <c r="AB80">
        <f t="shared" si="25"/>
        <v>0.10812099133682511</v>
      </c>
      <c r="AC80">
        <f t="shared" si="26"/>
        <v>3.778196283296148E-2</v>
      </c>
      <c r="AD80">
        <f t="shared" si="27"/>
        <v>0</v>
      </c>
    </row>
    <row r="81" spans="1:30" x14ac:dyDescent="0.3">
      <c r="A81" s="1">
        <v>80</v>
      </c>
      <c r="B81" s="1">
        <v>14</v>
      </c>
      <c r="C81" s="1">
        <v>10.1</v>
      </c>
      <c r="D81" s="1">
        <f t="shared" si="49"/>
        <v>20.299999999999997</v>
      </c>
      <c r="E81" s="1">
        <f t="shared" si="37"/>
        <v>0</v>
      </c>
      <c r="F81" s="1">
        <f t="shared" si="50"/>
        <v>206.04999999999998</v>
      </c>
      <c r="G81" s="1">
        <f t="shared" si="39"/>
        <v>0</v>
      </c>
      <c r="H81" s="1">
        <v>9.9429999999999996</v>
      </c>
      <c r="I81" s="1">
        <v>0.34770000000000001</v>
      </c>
      <c r="M81" s="1">
        <v>4.7699999999999996</v>
      </c>
      <c r="N81" s="1">
        <f t="shared" si="40"/>
        <v>1.6585289999999999</v>
      </c>
      <c r="O81">
        <f t="shared" si="41"/>
        <v>1.1200000000000276</v>
      </c>
      <c r="P81">
        <f t="shared" si="42"/>
        <v>11.980000000000013</v>
      </c>
      <c r="Q81">
        <f t="shared" si="43"/>
        <v>10.859999999999985</v>
      </c>
      <c r="R81">
        <f t="shared" si="44"/>
        <v>2.2670000000000119</v>
      </c>
      <c r="S81">
        <f t="shared" si="45"/>
        <v>1.4749999999999819</v>
      </c>
      <c r="T81">
        <f t="shared" si="46"/>
        <v>0.34945000000000043</v>
      </c>
      <c r="U81">
        <f t="shared" si="47"/>
        <v>0</v>
      </c>
      <c r="V81">
        <f t="shared" si="21"/>
        <v>3</v>
      </c>
      <c r="W81">
        <f t="shared" si="22"/>
        <v>0</v>
      </c>
      <c r="X81">
        <f t="shared" si="48"/>
        <v>0.34945000000000043</v>
      </c>
      <c r="Y81">
        <f t="shared" si="38"/>
        <v>0.45153868277250508</v>
      </c>
      <c r="Z81">
        <f t="shared" si="23"/>
        <v>1.0050330744895035</v>
      </c>
      <c r="AA81">
        <f t="shared" si="24"/>
        <v>0</v>
      </c>
      <c r="AB81">
        <f t="shared" si="25"/>
        <v>-0.42989604304063328</v>
      </c>
      <c r="AC81">
        <f t="shared" si="26"/>
        <v>0</v>
      </c>
      <c r="AD81">
        <f t="shared" si="27"/>
        <v>0</v>
      </c>
    </row>
    <row r="82" spans="1:30" x14ac:dyDescent="0.3">
      <c r="A82" s="1">
        <v>81</v>
      </c>
      <c r="B82" s="1">
        <v>14</v>
      </c>
      <c r="C82" s="1">
        <v>9</v>
      </c>
      <c r="D82" s="1">
        <f t="shared" si="49"/>
        <v>29.299999999999997</v>
      </c>
      <c r="E82" s="1">
        <f t="shared" si="37"/>
        <v>0</v>
      </c>
      <c r="F82" s="1">
        <f t="shared" si="50"/>
        <v>287.04999999999995</v>
      </c>
      <c r="G82" s="1">
        <f t="shared" si="39"/>
        <v>0</v>
      </c>
      <c r="H82" s="1">
        <v>9.9429999999999996</v>
      </c>
      <c r="I82" s="1">
        <v>0.34770000000000001</v>
      </c>
      <c r="M82" s="1">
        <v>4.7699999999999996</v>
      </c>
      <c r="N82" s="1">
        <f t="shared" si="40"/>
        <v>1.6585289999999999</v>
      </c>
      <c r="O82">
        <f t="shared" si="41"/>
        <v>0.17700000000002802</v>
      </c>
      <c r="P82">
        <f t="shared" si="42"/>
        <v>11.980000000000013</v>
      </c>
      <c r="Q82">
        <f t="shared" si="43"/>
        <v>11.802999999999985</v>
      </c>
      <c r="R82">
        <f t="shared" si="44"/>
        <v>1.3240000000000123</v>
      </c>
      <c r="S82">
        <f t="shared" si="45"/>
        <v>2.4179999999999815</v>
      </c>
      <c r="T82">
        <f t="shared" si="46"/>
        <v>0</v>
      </c>
      <c r="U82">
        <f t="shared" si="47"/>
        <v>0.76914999999999956</v>
      </c>
      <c r="V82">
        <f t="shared" si="21"/>
        <v>0</v>
      </c>
      <c r="W82">
        <f t="shared" si="22"/>
        <v>0</v>
      </c>
      <c r="X82">
        <f t="shared" si="48"/>
        <v>0</v>
      </c>
      <c r="Y82">
        <f t="shared" si="38"/>
        <v>-2.7121081392004589</v>
      </c>
      <c r="Z82">
        <f t="shared" si="23"/>
        <v>0</v>
      </c>
      <c r="AA82">
        <f t="shared" si="24"/>
        <v>-2.2121081392004589</v>
      </c>
      <c r="AB82">
        <f t="shared" si="25"/>
        <v>2.3634611476265555</v>
      </c>
      <c r="AC82">
        <f t="shared" si="26"/>
        <v>1.8634611476265555</v>
      </c>
      <c r="AD82">
        <f t="shared" si="27"/>
        <v>0</v>
      </c>
    </row>
    <row r="83" spans="1:30" x14ac:dyDescent="0.3">
      <c r="A83" s="1">
        <v>82</v>
      </c>
      <c r="B83" s="1">
        <v>14</v>
      </c>
      <c r="C83" s="1">
        <v>9.9</v>
      </c>
      <c r="D83" s="1">
        <f t="shared" si="49"/>
        <v>39.199999999999996</v>
      </c>
      <c r="E83" s="1">
        <f t="shared" si="37"/>
        <v>0</v>
      </c>
      <c r="F83" s="1">
        <f t="shared" si="50"/>
        <v>385.05999999999995</v>
      </c>
      <c r="G83" s="1">
        <f t="shared" si="39"/>
        <v>0</v>
      </c>
      <c r="H83" s="1">
        <v>9.9429999999999996</v>
      </c>
      <c r="I83" s="1">
        <v>0.34770000000000001</v>
      </c>
      <c r="M83" s="1">
        <v>4.7699999999999996</v>
      </c>
      <c r="N83" s="1">
        <f t="shared" si="40"/>
        <v>1.6585289999999999</v>
      </c>
      <c r="O83">
        <f t="shared" si="41"/>
        <v>0.13400000000002876</v>
      </c>
      <c r="P83">
        <f t="shared" si="42"/>
        <v>11.980000000000013</v>
      </c>
      <c r="Q83">
        <f t="shared" si="43"/>
        <v>11.845999999999984</v>
      </c>
      <c r="R83">
        <f t="shared" si="44"/>
        <v>1.281000000000013</v>
      </c>
      <c r="S83">
        <f t="shared" si="45"/>
        <v>2.4609999999999808</v>
      </c>
      <c r="T83">
        <f t="shared" si="46"/>
        <v>0</v>
      </c>
      <c r="U83">
        <f t="shared" si="47"/>
        <v>0.63829999999999876</v>
      </c>
      <c r="V83">
        <f t="shared" si="21"/>
        <v>0</v>
      </c>
      <c r="W83">
        <f t="shared" si="22"/>
        <v>0</v>
      </c>
      <c r="X83">
        <f t="shared" si="48"/>
        <v>0</v>
      </c>
      <c r="Y83">
        <f t="shared" si="38"/>
        <v>-0.12366983031348651</v>
      </c>
      <c r="Z83">
        <f t="shared" si="23"/>
        <v>0</v>
      </c>
      <c r="AA83">
        <f t="shared" si="24"/>
        <v>0</v>
      </c>
      <c r="AB83">
        <f t="shared" si="25"/>
        <v>-1.3476584088962507</v>
      </c>
      <c r="AC83">
        <f t="shared" si="26"/>
        <v>1.5802738730304799E-2</v>
      </c>
      <c r="AD83">
        <f t="shared" si="27"/>
        <v>-0.84765840889625066</v>
      </c>
    </row>
    <row r="84" spans="1:30" x14ac:dyDescent="0.3">
      <c r="A84" s="1">
        <v>83</v>
      </c>
      <c r="B84" s="1">
        <v>14</v>
      </c>
      <c r="C84" s="1">
        <v>10.3</v>
      </c>
      <c r="D84" s="1">
        <f t="shared" si="49"/>
        <v>49.5</v>
      </c>
      <c r="E84" s="1">
        <f t="shared" si="37"/>
        <v>0</v>
      </c>
      <c r="F84" s="1">
        <f t="shared" si="50"/>
        <v>491.15</v>
      </c>
      <c r="G84" s="1">
        <f t="shared" si="39"/>
        <v>0</v>
      </c>
      <c r="H84" s="1">
        <v>9.9429999999999996</v>
      </c>
      <c r="I84" s="1">
        <v>0.34770000000000001</v>
      </c>
      <c r="M84" s="1">
        <v>4.7699999999999996</v>
      </c>
      <c r="N84" s="1">
        <f t="shared" si="40"/>
        <v>1.6585289999999999</v>
      </c>
      <c r="O84">
        <f t="shared" si="41"/>
        <v>0.49100000000002986</v>
      </c>
      <c r="P84">
        <f t="shared" si="42"/>
        <v>12.337000000000014</v>
      </c>
      <c r="Q84">
        <f t="shared" si="43"/>
        <v>11.845999999999984</v>
      </c>
      <c r="R84">
        <f t="shared" si="44"/>
        <v>1.6380000000000141</v>
      </c>
      <c r="S84">
        <f t="shared" si="45"/>
        <v>2.1039999999999797</v>
      </c>
      <c r="T84">
        <f t="shared" si="46"/>
        <v>0.18315000000000109</v>
      </c>
      <c r="U84">
        <f t="shared" si="47"/>
        <v>0.1074499999999976</v>
      </c>
      <c r="V84">
        <f t="shared" si="21"/>
        <v>1</v>
      </c>
      <c r="W84">
        <f t="shared" si="22"/>
        <v>0</v>
      </c>
      <c r="X84">
        <f t="shared" si="48"/>
        <v>0.18315000000000109</v>
      </c>
      <c r="Y84">
        <f t="shared" si="38"/>
        <v>1.0267471958585017</v>
      </c>
      <c r="Z84">
        <f t="shared" si="23"/>
        <v>0.52674719585850172</v>
      </c>
      <c r="AA84">
        <f t="shared" si="24"/>
        <v>0</v>
      </c>
      <c r="AB84">
        <f t="shared" si="25"/>
        <v>0.54809555214191641</v>
      </c>
      <c r="AC84">
        <f t="shared" si="26"/>
        <v>6.3898290872221208E-2</v>
      </c>
      <c r="AD84">
        <f t="shared" si="27"/>
        <v>0</v>
      </c>
    </row>
    <row r="85" spans="1:30" x14ac:dyDescent="0.3">
      <c r="A85" s="1">
        <v>84</v>
      </c>
      <c r="B85" s="1">
        <v>14</v>
      </c>
      <c r="C85" s="1">
        <v>9.8000000000000007</v>
      </c>
      <c r="D85" s="1">
        <f t="shared" si="49"/>
        <v>59.3</v>
      </c>
      <c r="E85" s="1">
        <f t="shared" si="37"/>
        <v>9.8833333333333329</v>
      </c>
      <c r="F85" s="1">
        <f t="shared" si="50"/>
        <v>587.19000000000005</v>
      </c>
      <c r="G85" s="1">
        <f t="shared" si="39"/>
        <v>0.2216666666666697</v>
      </c>
      <c r="H85" s="1">
        <v>9.9429999999999996</v>
      </c>
      <c r="I85" s="1">
        <v>0.34770000000000001</v>
      </c>
      <c r="M85" s="1">
        <v>4.7699999999999996</v>
      </c>
      <c r="N85" s="1">
        <f t="shared" si="40"/>
        <v>1.6585289999999999</v>
      </c>
      <c r="O85">
        <f t="shared" si="41"/>
        <v>0.34800000000003095</v>
      </c>
      <c r="P85">
        <f t="shared" si="42"/>
        <v>12.337000000000014</v>
      </c>
      <c r="Q85">
        <f t="shared" si="43"/>
        <v>11.988999999999983</v>
      </c>
      <c r="R85">
        <f t="shared" si="44"/>
        <v>1.4950000000000152</v>
      </c>
      <c r="S85">
        <f t="shared" si="45"/>
        <v>2.2469999999999786</v>
      </c>
      <c r="T85">
        <f t="shared" si="46"/>
        <v>0</v>
      </c>
      <c r="U85">
        <f t="shared" si="47"/>
        <v>7.6599999999996504E-2</v>
      </c>
      <c r="V85">
        <f t="shared" si="21"/>
        <v>0</v>
      </c>
      <c r="W85">
        <f t="shared" si="22"/>
        <v>0</v>
      </c>
      <c r="X85">
        <f t="shared" si="48"/>
        <v>0</v>
      </c>
      <c r="Y85">
        <f t="shared" si="38"/>
        <v>-0.41127408685648231</v>
      </c>
      <c r="Z85">
        <f t="shared" si="23"/>
        <v>0</v>
      </c>
      <c r="AA85">
        <f t="shared" si="24"/>
        <v>0</v>
      </c>
      <c r="AB85">
        <f t="shared" si="25"/>
        <v>-0.51774628449102322</v>
      </c>
      <c r="AC85">
        <f t="shared" si="26"/>
        <v>0</v>
      </c>
      <c r="AD85">
        <f t="shared" si="27"/>
        <v>-1.7746284491023223E-2</v>
      </c>
    </row>
    <row r="86" spans="1:30" x14ac:dyDescent="0.3">
      <c r="A86" s="1">
        <v>85</v>
      </c>
      <c r="B86" s="1">
        <v>15</v>
      </c>
      <c r="C86" s="1">
        <v>10.199999999999999</v>
      </c>
      <c r="D86" s="1">
        <f t="shared" si="49"/>
        <v>10.199999999999999</v>
      </c>
      <c r="E86" s="1">
        <f t="shared" si="37"/>
        <v>0</v>
      </c>
      <c r="F86" s="1">
        <f t="shared" si="50"/>
        <v>104.03999999999999</v>
      </c>
      <c r="G86" s="1">
        <f t="shared" si="39"/>
        <v>0</v>
      </c>
      <c r="H86" s="1">
        <v>9.9429999999999996</v>
      </c>
      <c r="I86" s="1">
        <v>0.34770000000000001</v>
      </c>
      <c r="M86" s="1">
        <v>4.7699999999999996</v>
      </c>
      <c r="N86" s="1">
        <f t="shared" si="40"/>
        <v>1.6585289999999999</v>
      </c>
      <c r="O86">
        <f t="shared" si="41"/>
        <v>0.60500000000003062</v>
      </c>
      <c r="P86">
        <f t="shared" si="42"/>
        <v>12.594000000000014</v>
      </c>
      <c r="Q86">
        <f t="shared" si="43"/>
        <v>11.988999999999983</v>
      </c>
      <c r="R86">
        <f t="shared" si="44"/>
        <v>1.7520000000000149</v>
      </c>
      <c r="S86">
        <f t="shared" si="45"/>
        <v>1.9899999999999789</v>
      </c>
      <c r="T86">
        <f t="shared" si="46"/>
        <v>8.3149999999999669E-2</v>
      </c>
      <c r="U86">
        <f t="shared" si="47"/>
        <v>0</v>
      </c>
      <c r="V86">
        <f t="shared" ref="V86:V121" si="51">IF(T86&gt;0,1+V85,0)</f>
        <v>1</v>
      </c>
      <c r="W86">
        <f t="shared" ref="W86:W121" si="52">IF(T86&gt;N86,$H$2+(T86/V86)+K86,0)</f>
        <v>0</v>
      </c>
      <c r="X86">
        <f t="shared" si="48"/>
        <v>8.3149999999999669E-2</v>
      </c>
      <c r="Y86">
        <f t="shared" si="38"/>
        <v>0.7391429393155009</v>
      </c>
      <c r="Z86">
        <f t="shared" ref="Z86:Z121" si="53">MAX(0,Y86-$K$2+Z85)</f>
        <v>0.2391429393155009</v>
      </c>
      <c r="AA86">
        <f t="shared" ref="AA86:AA121" si="54">-MAX(0,-Y86-$K$2+AA85)</f>
        <v>0</v>
      </c>
      <c r="AB86">
        <f t="shared" ref="AB86:AB121" si="55">(SQRT(ABS(Y86))-0.822)/0.349</f>
        <v>0.10812099133682511</v>
      </c>
      <c r="AC86">
        <f t="shared" ref="AC86:AC121" si="56">MAX(0,AB86-$K$2+AC85)</f>
        <v>0</v>
      </c>
      <c r="AD86">
        <f t="shared" ref="AD86:AD121" si="57">-MAX(0,-AB86-$K$2+AD85)</f>
        <v>0</v>
      </c>
    </row>
    <row r="87" spans="1:30" x14ac:dyDescent="0.3">
      <c r="A87" s="1">
        <v>86</v>
      </c>
      <c r="B87" s="1">
        <v>15</v>
      </c>
      <c r="C87" s="1">
        <v>10.1</v>
      </c>
      <c r="D87" s="1">
        <f t="shared" si="49"/>
        <v>20.299999999999997</v>
      </c>
      <c r="E87" s="1">
        <f t="shared" si="37"/>
        <v>0</v>
      </c>
      <c r="F87" s="1">
        <f t="shared" si="50"/>
        <v>206.04999999999998</v>
      </c>
      <c r="G87" s="1">
        <f t="shared" si="39"/>
        <v>0</v>
      </c>
      <c r="H87" s="1">
        <v>9.9429999999999996</v>
      </c>
      <c r="I87" s="1">
        <v>0.34770000000000001</v>
      </c>
      <c r="M87" s="1">
        <v>4.7699999999999996</v>
      </c>
      <c r="N87" s="1">
        <f t="shared" si="40"/>
        <v>1.6585289999999999</v>
      </c>
      <c r="O87">
        <f t="shared" si="41"/>
        <v>0.76200000000003065</v>
      </c>
      <c r="P87">
        <f t="shared" si="42"/>
        <v>12.751000000000014</v>
      </c>
      <c r="Q87">
        <f t="shared" si="43"/>
        <v>11.988999999999983</v>
      </c>
      <c r="R87">
        <f t="shared" si="44"/>
        <v>1.9090000000000149</v>
      </c>
      <c r="S87">
        <f t="shared" si="45"/>
        <v>1.8329999999999789</v>
      </c>
      <c r="T87">
        <f t="shared" si="46"/>
        <v>6.6299999999999693E-2</v>
      </c>
      <c r="U87">
        <f t="shared" si="47"/>
        <v>0</v>
      </c>
      <c r="V87">
        <f t="shared" si="51"/>
        <v>2</v>
      </c>
      <c r="W87">
        <f t="shared" si="52"/>
        <v>0</v>
      </c>
      <c r="X87">
        <f t="shared" si="48"/>
        <v>6.6299999999999693E-2</v>
      </c>
      <c r="Y87">
        <f t="shared" si="38"/>
        <v>0.45153868277250508</v>
      </c>
      <c r="Z87">
        <f t="shared" si="53"/>
        <v>0.19068162208800599</v>
      </c>
      <c r="AA87">
        <f t="shared" si="54"/>
        <v>0</v>
      </c>
      <c r="AB87">
        <f t="shared" si="55"/>
        <v>-0.42989604304063328</v>
      </c>
      <c r="AC87">
        <f t="shared" si="56"/>
        <v>0</v>
      </c>
      <c r="AD87">
        <f t="shared" si="57"/>
        <v>0</v>
      </c>
    </row>
    <row r="88" spans="1:30" x14ac:dyDescent="0.3">
      <c r="A88" s="1">
        <v>87</v>
      </c>
      <c r="B88" s="1">
        <v>15</v>
      </c>
      <c r="C88" s="1">
        <v>9.4</v>
      </c>
      <c r="D88" s="1">
        <f t="shared" si="49"/>
        <v>29.699999999999996</v>
      </c>
      <c r="E88" s="1">
        <f t="shared" si="37"/>
        <v>0</v>
      </c>
      <c r="F88" s="1">
        <f t="shared" si="50"/>
        <v>294.40999999999997</v>
      </c>
      <c r="G88" s="1">
        <f t="shared" si="39"/>
        <v>0</v>
      </c>
      <c r="H88" s="1">
        <v>9.9429999999999996</v>
      </c>
      <c r="I88" s="1">
        <v>0.34770000000000001</v>
      </c>
      <c r="M88" s="1">
        <v>4.7699999999999996</v>
      </c>
      <c r="N88" s="1">
        <f t="shared" si="40"/>
        <v>1.6585289999999999</v>
      </c>
      <c r="O88">
        <f t="shared" si="41"/>
        <v>0.21900000000003139</v>
      </c>
      <c r="P88">
        <f t="shared" si="42"/>
        <v>12.751000000000014</v>
      </c>
      <c r="Q88">
        <f t="shared" si="43"/>
        <v>12.531999999999982</v>
      </c>
      <c r="R88">
        <f t="shared" si="44"/>
        <v>1.3660000000000156</v>
      </c>
      <c r="S88">
        <f t="shared" si="45"/>
        <v>2.3759999999999781</v>
      </c>
      <c r="T88">
        <f t="shared" si="46"/>
        <v>0</v>
      </c>
      <c r="U88">
        <f t="shared" si="47"/>
        <v>0.36914999999999926</v>
      </c>
      <c r="V88">
        <f t="shared" si="51"/>
        <v>0</v>
      </c>
      <c r="W88">
        <f t="shared" si="52"/>
        <v>0</v>
      </c>
      <c r="X88">
        <f t="shared" si="48"/>
        <v>0</v>
      </c>
      <c r="Y88">
        <f t="shared" si="38"/>
        <v>-1.5616911130284707</v>
      </c>
      <c r="Z88">
        <f t="shared" si="53"/>
        <v>0</v>
      </c>
      <c r="AA88">
        <f t="shared" si="54"/>
        <v>-1.0616911130284707</v>
      </c>
      <c r="AB88">
        <f t="shared" si="55"/>
        <v>1.225433820416806</v>
      </c>
      <c r="AC88">
        <f t="shared" si="56"/>
        <v>0.72543382041680604</v>
      </c>
      <c r="AD88">
        <f t="shared" si="57"/>
        <v>0</v>
      </c>
    </row>
    <row r="89" spans="1:30" x14ac:dyDescent="0.3">
      <c r="A89" s="1">
        <v>88</v>
      </c>
      <c r="B89" s="1">
        <v>15</v>
      </c>
      <c r="C89" s="1">
        <v>9.5</v>
      </c>
      <c r="D89" s="1">
        <f t="shared" si="49"/>
        <v>39.199999999999996</v>
      </c>
      <c r="E89" s="1">
        <f t="shared" si="37"/>
        <v>0</v>
      </c>
      <c r="F89" s="1">
        <f t="shared" si="50"/>
        <v>384.65999999999997</v>
      </c>
      <c r="G89" s="1">
        <f t="shared" si="39"/>
        <v>0</v>
      </c>
      <c r="H89" s="1">
        <v>9.9429999999999996</v>
      </c>
      <c r="I89" s="1">
        <v>0.34770000000000001</v>
      </c>
      <c r="M89" s="1">
        <v>4.7699999999999996</v>
      </c>
      <c r="N89" s="1">
        <f t="shared" si="40"/>
        <v>1.6585289999999999</v>
      </c>
      <c r="O89">
        <f t="shared" si="41"/>
        <v>-0.22399999999996822</v>
      </c>
      <c r="P89">
        <f t="shared" si="42"/>
        <v>12.751000000000014</v>
      </c>
      <c r="Q89">
        <f t="shared" si="43"/>
        <v>12.974999999999982</v>
      </c>
      <c r="R89">
        <f t="shared" si="44"/>
        <v>0.92300000000001603</v>
      </c>
      <c r="S89">
        <f t="shared" si="45"/>
        <v>2.8189999999999777</v>
      </c>
      <c r="T89">
        <f t="shared" si="46"/>
        <v>0</v>
      </c>
      <c r="U89">
        <f t="shared" si="47"/>
        <v>0.63829999999999887</v>
      </c>
      <c r="V89">
        <f t="shared" si="51"/>
        <v>0</v>
      </c>
      <c r="W89">
        <f t="shared" si="52"/>
        <v>0</v>
      </c>
      <c r="X89">
        <f t="shared" si="48"/>
        <v>0</v>
      </c>
      <c r="Y89">
        <f t="shared" si="38"/>
        <v>-1.2740868564854748</v>
      </c>
      <c r="Z89">
        <f t="shared" si="53"/>
        <v>0</v>
      </c>
      <c r="AA89">
        <f t="shared" si="54"/>
        <v>0</v>
      </c>
      <c r="AB89">
        <f t="shared" si="55"/>
        <v>0.87895289368413143</v>
      </c>
      <c r="AC89">
        <f t="shared" si="56"/>
        <v>1.1043867141009374</v>
      </c>
      <c r="AD89">
        <f t="shared" si="57"/>
        <v>0</v>
      </c>
    </row>
    <row r="90" spans="1:30" x14ac:dyDescent="0.3">
      <c r="A90" s="1">
        <v>89</v>
      </c>
      <c r="B90" s="1">
        <v>15</v>
      </c>
      <c r="C90" s="1">
        <v>9.5</v>
      </c>
      <c r="D90" s="1">
        <f t="shared" si="49"/>
        <v>48.699999999999996</v>
      </c>
      <c r="E90" s="1">
        <f t="shared" si="37"/>
        <v>0</v>
      </c>
      <c r="F90" s="1">
        <f t="shared" si="50"/>
        <v>474.90999999999997</v>
      </c>
      <c r="G90" s="1">
        <f t="shared" si="39"/>
        <v>0</v>
      </c>
      <c r="H90" s="1">
        <v>9.9429999999999996</v>
      </c>
      <c r="I90" s="1">
        <v>0.34770000000000001</v>
      </c>
      <c r="M90" s="1">
        <v>4.7699999999999996</v>
      </c>
      <c r="N90" s="1">
        <f t="shared" si="40"/>
        <v>1.6585289999999999</v>
      </c>
      <c r="O90">
        <f t="shared" si="41"/>
        <v>-0.66699999999996784</v>
      </c>
      <c r="P90">
        <f t="shared" si="42"/>
        <v>12.751000000000014</v>
      </c>
      <c r="Q90">
        <f t="shared" si="43"/>
        <v>13.417999999999981</v>
      </c>
      <c r="R90">
        <f t="shared" si="44"/>
        <v>0.48000000000001641</v>
      </c>
      <c r="S90">
        <f t="shared" si="45"/>
        <v>3.2619999999999774</v>
      </c>
      <c r="T90">
        <f t="shared" si="46"/>
        <v>0</v>
      </c>
      <c r="U90">
        <f t="shared" si="47"/>
        <v>0.90744999999999854</v>
      </c>
      <c r="V90">
        <f t="shared" si="51"/>
        <v>0</v>
      </c>
      <c r="W90">
        <f t="shared" si="52"/>
        <v>0</v>
      </c>
      <c r="X90">
        <f t="shared" si="48"/>
        <v>0</v>
      </c>
      <c r="Y90">
        <f t="shared" si="38"/>
        <v>-1.2740868564854748</v>
      </c>
      <c r="Z90">
        <f t="shared" si="53"/>
        <v>0</v>
      </c>
      <c r="AA90">
        <f t="shared" si="54"/>
        <v>-0.77408685648547482</v>
      </c>
      <c r="AB90">
        <f t="shared" si="55"/>
        <v>0.87895289368413143</v>
      </c>
      <c r="AC90">
        <f t="shared" si="56"/>
        <v>1.4833396077850689</v>
      </c>
      <c r="AD90">
        <f t="shared" si="57"/>
        <v>0</v>
      </c>
    </row>
    <row r="91" spans="1:30" x14ac:dyDescent="0.3">
      <c r="A91" s="1">
        <v>90</v>
      </c>
      <c r="B91" s="1">
        <v>15</v>
      </c>
      <c r="C91" s="1">
        <v>9.8000000000000007</v>
      </c>
      <c r="D91" s="1">
        <f t="shared" si="49"/>
        <v>58.5</v>
      </c>
      <c r="E91" s="1">
        <f t="shared" si="37"/>
        <v>9.75</v>
      </c>
      <c r="F91" s="1">
        <f t="shared" si="50"/>
        <v>570.95000000000005</v>
      </c>
      <c r="G91" s="1">
        <f t="shared" si="39"/>
        <v>0.11500000000000909</v>
      </c>
      <c r="H91" s="1">
        <v>9.9429999999999996</v>
      </c>
      <c r="I91" s="1">
        <v>0.34770000000000001</v>
      </c>
      <c r="M91" s="1">
        <v>4.7699999999999996</v>
      </c>
      <c r="N91" s="1">
        <f t="shared" si="40"/>
        <v>1.6585289999999999</v>
      </c>
      <c r="O91">
        <f t="shared" si="41"/>
        <v>-0.80999999999996675</v>
      </c>
      <c r="P91">
        <f t="shared" si="42"/>
        <v>12.751000000000014</v>
      </c>
      <c r="Q91">
        <f t="shared" si="43"/>
        <v>13.56099999999998</v>
      </c>
      <c r="R91">
        <f t="shared" si="44"/>
        <v>0.33700000000001751</v>
      </c>
      <c r="S91">
        <f t="shared" si="45"/>
        <v>3.4049999999999763</v>
      </c>
      <c r="T91">
        <f t="shared" si="46"/>
        <v>0</v>
      </c>
      <c r="U91">
        <f t="shared" si="47"/>
        <v>0.87659999999999738</v>
      </c>
      <c r="V91">
        <f t="shared" si="51"/>
        <v>0</v>
      </c>
      <c r="W91">
        <f t="shared" si="52"/>
        <v>0</v>
      </c>
      <c r="X91">
        <f t="shared" si="48"/>
        <v>0</v>
      </c>
      <c r="Y91">
        <f t="shared" si="38"/>
        <v>-0.41127408685648231</v>
      </c>
      <c r="Z91">
        <f t="shared" si="53"/>
        <v>0</v>
      </c>
      <c r="AA91">
        <f t="shared" si="54"/>
        <v>0</v>
      </c>
      <c r="AB91">
        <f t="shared" si="55"/>
        <v>-0.51774628449102322</v>
      </c>
      <c r="AC91">
        <f t="shared" si="56"/>
        <v>0.46559332329404568</v>
      </c>
      <c r="AD91">
        <f t="shared" si="57"/>
        <v>-1.7746284491023223E-2</v>
      </c>
    </row>
    <row r="92" spans="1:30" x14ac:dyDescent="0.3">
      <c r="A92" s="1">
        <v>91</v>
      </c>
      <c r="B92" s="1">
        <v>16</v>
      </c>
      <c r="C92" s="1">
        <v>10.3</v>
      </c>
      <c r="D92" s="1">
        <f t="shared" si="49"/>
        <v>10.3</v>
      </c>
      <c r="E92" s="1">
        <f t="shared" si="37"/>
        <v>0</v>
      </c>
      <c r="F92" s="1">
        <f t="shared" si="50"/>
        <v>106.09000000000002</v>
      </c>
      <c r="G92" s="1">
        <f t="shared" si="39"/>
        <v>0</v>
      </c>
      <c r="H92" s="1">
        <v>9.9429999999999996</v>
      </c>
      <c r="I92" s="1">
        <v>0.34770000000000001</v>
      </c>
      <c r="M92" s="1">
        <v>4.7699999999999996</v>
      </c>
      <c r="N92" s="1">
        <f t="shared" si="40"/>
        <v>1.6585289999999999</v>
      </c>
      <c r="O92">
        <f t="shared" si="41"/>
        <v>-0.45299999999996565</v>
      </c>
      <c r="P92">
        <f t="shared" si="42"/>
        <v>13.108000000000015</v>
      </c>
      <c r="Q92">
        <f t="shared" si="43"/>
        <v>13.56099999999998</v>
      </c>
      <c r="R92">
        <f t="shared" si="44"/>
        <v>0.6940000000000186</v>
      </c>
      <c r="S92">
        <f t="shared" si="45"/>
        <v>3.0479999999999752</v>
      </c>
      <c r="T92">
        <f t="shared" si="46"/>
        <v>0.18315000000000109</v>
      </c>
      <c r="U92">
        <f t="shared" si="47"/>
        <v>0.34574999999999623</v>
      </c>
      <c r="V92">
        <f t="shared" si="51"/>
        <v>1</v>
      </c>
      <c r="W92">
        <f t="shared" si="52"/>
        <v>0</v>
      </c>
      <c r="X92">
        <f t="shared" si="48"/>
        <v>0.18315000000000109</v>
      </c>
      <c r="Y92">
        <f t="shared" si="38"/>
        <v>1.0267471958585017</v>
      </c>
      <c r="Z92">
        <f t="shared" si="53"/>
        <v>0.52674719585850172</v>
      </c>
      <c r="AA92">
        <f t="shared" si="54"/>
        <v>0</v>
      </c>
      <c r="AB92">
        <f t="shared" si="55"/>
        <v>0.54809555214191641</v>
      </c>
      <c r="AC92">
        <f t="shared" si="56"/>
        <v>0.51368887543596209</v>
      </c>
      <c r="AD92">
        <f t="shared" si="57"/>
        <v>0</v>
      </c>
    </row>
    <row r="93" spans="1:30" x14ac:dyDescent="0.3">
      <c r="A93" s="1">
        <v>92</v>
      </c>
      <c r="B93" s="1">
        <v>16</v>
      </c>
      <c r="C93" s="1">
        <v>10.4</v>
      </c>
      <c r="D93" s="1">
        <f t="shared" si="49"/>
        <v>20.700000000000003</v>
      </c>
      <c r="E93" s="1">
        <f t="shared" si="37"/>
        <v>0</v>
      </c>
      <c r="F93" s="1">
        <f t="shared" si="50"/>
        <v>214.25000000000003</v>
      </c>
      <c r="G93" s="1">
        <f t="shared" si="39"/>
        <v>0</v>
      </c>
      <c r="H93" s="1">
        <v>9.9429999999999996</v>
      </c>
      <c r="I93" s="1">
        <v>0.34770000000000001</v>
      </c>
      <c r="M93" s="1">
        <v>4.7699999999999996</v>
      </c>
      <c r="N93" s="1">
        <f t="shared" si="40"/>
        <v>1.6585289999999999</v>
      </c>
      <c r="O93">
        <f t="shared" si="41"/>
        <v>4.0000000000350866E-3</v>
      </c>
      <c r="P93">
        <f t="shared" si="42"/>
        <v>13.565000000000015</v>
      </c>
      <c r="Q93">
        <f t="shared" si="43"/>
        <v>13.56099999999998</v>
      </c>
      <c r="R93">
        <f t="shared" si="44"/>
        <v>1.1510000000000193</v>
      </c>
      <c r="S93">
        <f t="shared" si="45"/>
        <v>2.5909999999999744</v>
      </c>
      <c r="T93">
        <f t="shared" si="46"/>
        <v>0.46630000000000182</v>
      </c>
      <c r="U93">
        <f t="shared" si="47"/>
        <v>0</v>
      </c>
      <c r="V93">
        <f t="shared" si="51"/>
        <v>2</v>
      </c>
      <c r="W93">
        <f t="shared" si="52"/>
        <v>0</v>
      </c>
      <c r="X93">
        <f t="shared" si="48"/>
        <v>0.46630000000000182</v>
      </c>
      <c r="Y93">
        <f t="shared" si="38"/>
        <v>1.3143514524014976</v>
      </c>
      <c r="Z93">
        <f t="shared" si="53"/>
        <v>1.3410986482599994</v>
      </c>
      <c r="AA93">
        <f t="shared" si="54"/>
        <v>0</v>
      </c>
      <c r="AB93">
        <f t="shared" si="55"/>
        <v>0.92966097149613636</v>
      </c>
      <c r="AC93">
        <f t="shared" si="56"/>
        <v>0.94334984693209845</v>
      </c>
      <c r="AD93">
        <f t="shared" si="57"/>
        <v>0</v>
      </c>
    </row>
    <row r="94" spans="1:30" x14ac:dyDescent="0.3">
      <c r="A94" s="1">
        <v>93</v>
      </c>
      <c r="B94" s="1">
        <v>16</v>
      </c>
      <c r="C94" s="1">
        <v>10.1</v>
      </c>
      <c r="D94" s="1">
        <f t="shared" si="49"/>
        <v>30.800000000000004</v>
      </c>
      <c r="E94" s="1">
        <f t="shared" si="37"/>
        <v>0</v>
      </c>
      <c r="F94" s="1">
        <f t="shared" si="50"/>
        <v>316.26</v>
      </c>
      <c r="G94" s="1">
        <f t="shared" si="39"/>
        <v>0</v>
      </c>
      <c r="H94" s="1">
        <v>9.9429999999999996</v>
      </c>
      <c r="I94" s="1">
        <v>0.34770000000000001</v>
      </c>
      <c r="M94" s="1">
        <v>4.7699999999999996</v>
      </c>
      <c r="N94" s="1">
        <f t="shared" si="40"/>
        <v>1.6585289999999999</v>
      </c>
      <c r="O94">
        <f t="shared" si="41"/>
        <v>0.16100000000003512</v>
      </c>
      <c r="P94">
        <f t="shared" si="42"/>
        <v>13.722000000000016</v>
      </c>
      <c r="Q94">
        <f t="shared" si="43"/>
        <v>13.56099999999998</v>
      </c>
      <c r="R94">
        <f t="shared" si="44"/>
        <v>1.3080000000000194</v>
      </c>
      <c r="S94">
        <f t="shared" si="45"/>
        <v>2.4339999999999744</v>
      </c>
      <c r="T94">
        <f t="shared" si="46"/>
        <v>0.44945000000000185</v>
      </c>
      <c r="U94">
        <f t="shared" si="47"/>
        <v>0</v>
      </c>
      <c r="V94">
        <f t="shared" si="51"/>
        <v>3</v>
      </c>
      <c r="W94">
        <f t="shared" si="52"/>
        <v>0</v>
      </c>
      <c r="X94">
        <f t="shared" si="48"/>
        <v>0.44945000000000185</v>
      </c>
      <c r="Y94">
        <f t="shared" si="38"/>
        <v>0.45153868277250508</v>
      </c>
      <c r="Z94">
        <f t="shared" si="53"/>
        <v>1.2926373310325046</v>
      </c>
      <c r="AA94">
        <f t="shared" si="54"/>
        <v>0</v>
      </c>
      <c r="AB94">
        <f t="shared" si="55"/>
        <v>-0.42989604304063328</v>
      </c>
      <c r="AC94">
        <f t="shared" si="56"/>
        <v>1.345380389146511E-2</v>
      </c>
      <c r="AD94">
        <f t="shared" si="57"/>
        <v>0</v>
      </c>
    </row>
    <row r="95" spans="1:30" x14ac:dyDescent="0.3">
      <c r="A95" s="1">
        <v>94</v>
      </c>
      <c r="B95" s="1">
        <v>16</v>
      </c>
      <c r="C95" s="1">
        <v>9.6999999999999993</v>
      </c>
      <c r="D95" s="1">
        <f t="shared" si="49"/>
        <v>40.5</v>
      </c>
      <c r="E95" s="1">
        <f t="shared" si="37"/>
        <v>0</v>
      </c>
      <c r="F95" s="1">
        <f t="shared" si="50"/>
        <v>410.34999999999997</v>
      </c>
      <c r="G95" s="1">
        <f t="shared" si="39"/>
        <v>0</v>
      </c>
      <c r="H95" s="1">
        <v>9.9429999999999996</v>
      </c>
      <c r="I95" s="1">
        <v>0.34770000000000001</v>
      </c>
      <c r="M95" s="1">
        <v>4.7699999999999996</v>
      </c>
      <c r="N95" s="1">
        <f t="shared" si="40"/>
        <v>1.6585289999999999</v>
      </c>
      <c r="O95">
        <f t="shared" si="41"/>
        <v>-8.1999999999965212E-2</v>
      </c>
      <c r="P95">
        <f t="shared" si="42"/>
        <v>13.722000000000016</v>
      </c>
      <c r="Q95">
        <f t="shared" si="43"/>
        <v>13.803999999999981</v>
      </c>
      <c r="R95">
        <f t="shared" si="44"/>
        <v>1.065000000000019</v>
      </c>
      <c r="S95">
        <f t="shared" si="45"/>
        <v>2.6769999999999747</v>
      </c>
      <c r="T95">
        <f t="shared" si="46"/>
        <v>3.2600000000001517E-2</v>
      </c>
      <c r="U95">
        <f t="shared" si="47"/>
        <v>6.9150000000000322E-2</v>
      </c>
      <c r="V95">
        <f t="shared" si="51"/>
        <v>4</v>
      </c>
      <c r="W95">
        <f t="shared" si="52"/>
        <v>0</v>
      </c>
      <c r="X95">
        <f t="shared" si="48"/>
        <v>3.2600000000001517E-2</v>
      </c>
      <c r="Y95">
        <f t="shared" si="38"/>
        <v>-0.69887834339948318</v>
      </c>
      <c r="Z95">
        <f t="shared" si="53"/>
        <v>9.3758987633021373E-2</v>
      </c>
      <c r="AA95">
        <f t="shared" si="54"/>
        <v>-0.19887834339948318</v>
      </c>
      <c r="AB95">
        <f t="shared" si="55"/>
        <v>4.0084354629023308E-2</v>
      </c>
      <c r="AC95">
        <f t="shared" si="56"/>
        <v>0</v>
      </c>
      <c r="AD95">
        <f t="shared" si="57"/>
        <v>0</v>
      </c>
    </row>
    <row r="96" spans="1:30" x14ac:dyDescent="0.3">
      <c r="A96" s="1">
        <v>95</v>
      </c>
      <c r="B96" s="1">
        <v>16</v>
      </c>
      <c r="C96" s="1">
        <v>9.9</v>
      </c>
      <c r="D96" s="1">
        <f t="shared" si="49"/>
        <v>50.4</v>
      </c>
      <c r="E96" s="1">
        <f t="shared" si="37"/>
        <v>0</v>
      </c>
      <c r="F96" s="1">
        <f t="shared" si="50"/>
        <v>508.35999999999996</v>
      </c>
      <c r="G96" s="1">
        <f t="shared" si="39"/>
        <v>0</v>
      </c>
      <c r="H96" s="1">
        <v>9.9429999999999996</v>
      </c>
      <c r="I96" s="1">
        <v>0.34770000000000001</v>
      </c>
      <c r="M96" s="1">
        <v>4.7699999999999996</v>
      </c>
      <c r="N96" s="1">
        <f t="shared" si="40"/>
        <v>1.6585289999999999</v>
      </c>
      <c r="O96">
        <f t="shared" si="41"/>
        <v>-0.12499999999996447</v>
      </c>
      <c r="P96">
        <f t="shared" si="42"/>
        <v>13.722000000000016</v>
      </c>
      <c r="Q96">
        <f t="shared" si="43"/>
        <v>13.84699999999998</v>
      </c>
      <c r="R96">
        <f t="shared" si="44"/>
        <v>1.0220000000000198</v>
      </c>
      <c r="S96">
        <f t="shared" si="45"/>
        <v>2.719999999999974</v>
      </c>
      <c r="T96">
        <f t="shared" si="46"/>
        <v>0</v>
      </c>
      <c r="U96">
        <f t="shared" si="47"/>
        <v>0</v>
      </c>
      <c r="V96">
        <f t="shared" si="51"/>
        <v>0</v>
      </c>
      <c r="W96">
        <f t="shared" si="52"/>
        <v>0</v>
      </c>
      <c r="X96">
        <f t="shared" si="48"/>
        <v>0</v>
      </c>
      <c r="Y96">
        <f t="shared" si="38"/>
        <v>-0.12366983031348651</v>
      </c>
      <c r="Z96">
        <f t="shared" si="53"/>
        <v>0</v>
      </c>
      <c r="AA96">
        <f t="shared" si="54"/>
        <v>0</v>
      </c>
      <c r="AB96">
        <f t="shared" si="55"/>
        <v>-1.3476584088962507</v>
      </c>
      <c r="AC96">
        <f t="shared" si="56"/>
        <v>0</v>
      </c>
      <c r="AD96">
        <f t="shared" si="57"/>
        <v>-0.84765840889625066</v>
      </c>
    </row>
    <row r="97" spans="1:30" x14ac:dyDescent="0.3">
      <c r="A97" s="1">
        <v>96</v>
      </c>
      <c r="B97" s="1">
        <v>16</v>
      </c>
      <c r="C97" s="1">
        <v>10.199999999999999</v>
      </c>
      <c r="D97" s="1">
        <f t="shared" si="49"/>
        <v>60.599999999999994</v>
      </c>
      <c r="E97" s="1">
        <f t="shared" si="37"/>
        <v>10.1</v>
      </c>
      <c r="F97" s="1">
        <f t="shared" si="50"/>
        <v>612.4</v>
      </c>
      <c r="G97" s="1">
        <f t="shared" si="39"/>
        <v>6.8000000000006361E-2</v>
      </c>
      <c r="H97" s="1">
        <v>9.9429999999999996</v>
      </c>
      <c r="I97" s="1">
        <v>0.34770000000000001</v>
      </c>
      <c r="M97" s="1">
        <v>4.7699999999999996</v>
      </c>
      <c r="N97" s="1">
        <f t="shared" si="40"/>
        <v>1.6585289999999999</v>
      </c>
      <c r="O97">
        <f t="shared" si="41"/>
        <v>0.1320000000000352</v>
      </c>
      <c r="P97">
        <f t="shared" si="42"/>
        <v>13.979000000000015</v>
      </c>
      <c r="Q97">
        <f t="shared" si="43"/>
        <v>13.84699999999998</v>
      </c>
      <c r="R97">
        <f t="shared" si="44"/>
        <v>1.2790000000000195</v>
      </c>
      <c r="S97">
        <f t="shared" si="45"/>
        <v>2.4629999999999743</v>
      </c>
      <c r="T97">
        <f t="shared" si="46"/>
        <v>8.3149999999999669E-2</v>
      </c>
      <c r="U97">
        <f t="shared" si="47"/>
        <v>0</v>
      </c>
      <c r="V97">
        <f t="shared" si="51"/>
        <v>1</v>
      </c>
      <c r="W97">
        <f t="shared" si="52"/>
        <v>0</v>
      </c>
      <c r="X97">
        <f t="shared" si="48"/>
        <v>8.3149999999999669E-2</v>
      </c>
      <c r="Y97">
        <f t="shared" si="38"/>
        <v>0.7391429393155009</v>
      </c>
      <c r="Z97">
        <f t="shared" si="53"/>
        <v>0.2391429393155009</v>
      </c>
      <c r="AA97">
        <f t="shared" si="54"/>
        <v>0</v>
      </c>
      <c r="AB97">
        <f t="shared" si="55"/>
        <v>0.10812099133682511</v>
      </c>
      <c r="AC97">
        <f t="shared" si="56"/>
        <v>0</v>
      </c>
      <c r="AD97">
        <f t="shared" si="57"/>
        <v>0</v>
      </c>
    </row>
    <row r="98" spans="1:30" x14ac:dyDescent="0.3">
      <c r="A98" s="1">
        <v>97</v>
      </c>
      <c r="B98" s="1">
        <v>17</v>
      </c>
      <c r="C98" s="1">
        <v>10.1</v>
      </c>
      <c r="D98" s="1">
        <f t="shared" si="49"/>
        <v>10.1</v>
      </c>
      <c r="E98" s="1">
        <f t="shared" si="37"/>
        <v>0</v>
      </c>
      <c r="F98" s="1">
        <f t="shared" si="50"/>
        <v>102.00999999999999</v>
      </c>
      <c r="G98" s="1">
        <f t="shared" si="39"/>
        <v>0</v>
      </c>
      <c r="H98" s="1">
        <v>9.9429999999999996</v>
      </c>
      <c r="I98" s="1">
        <v>0.34770000000000001</v>
      </c>
      <c r="M98" s="1">
        <v>4.7699999999999996</v>
      </c>
      <c r="N98" s="1">
        <f t="shared" si="40"/>
        <v>1.6585289999999999</v>
      </c>
      <c r="O98">
        <f t="shared" si="41"/>
        <v>0.28900000000003523</v>
      </c>
      <c r="P98">
        <f t="shared" si="42"/>
        <v>14.136000000000015</v>
      </c>
      <c r="Q98">
        <f t="shared" si="43"/>
        <v>13.84699999999998</v>
      </c>
      <c r="R98">
        <f t="shared" si="44"/>
        <v>1.4360000000000195</v>
      </c>
      <c r="S98">
        <f t="shared" si="45"/>
        <v>2.3059999999999743</v>
      </c>
      <c r="T98">
        <f t="shared" si="46"/>
        <v>6.6299999999999693E-2</v>
      </c>
      <c r="U98">
        <f t="shared" si="47"/>
        <v>0</v>
      </c>
      <c r="V98">
        <f t="shared" si="51"/>
        <v>2</v>
      </c>
      <c r="W98">
        <f t="shared" si="52"/>
        <v>0</v>
      </c>
      <c r="X98">
        <f t="shared" si="48"/>
        <v>6.6299999999999693E-2</v>
      </c>
      <c r="Y98">
        <f t="shared" ref="Y98:Y121" si="58">(C98-$H$2)/$I$2</f>
        <v>0.45153868277250508</v>
      </c>
      <c r="Z98">
        <f t="shared" si="53"/>
        <v>0.19068162208800599</v>
      </c>
      <c r="AA98">
        <f t="shared" si="54"/>
        <v>0</v>
      </c>
      <c r="AB98">
        <f t="shared" si="55"/>
        <v>-0.42989604304063328</v>
      </c>
      <c r="AC98">
        <f t="shared" si="56"/>
        <v>0</v>
      </c>
      <c r="AD98">
        <f t="shared" si="57"/>
        <v>0</v>
      </c>
    </row>
    <row r="99" spans="1:30" x14ac:dyDescent="0.3">
      <c r="A99" s="1">
        <v>98</v>
      </c>
      <c r="B99" s="1">
        <v>17</v>
      </c>
      <c r="C99" s="1">
        <v>9.1999999999999993</v>
      </c>
      <c r="D99" s="1">
        <f t="shared" si="49"/>
        <v>19.299999999999997</v>
      </c>
      <c r="E99" s="1">
        <f t="shared" si="37"/>
        <v>0</v>
      </c>
      <c r="F99" s="1">
        <f t="shared" si="50"/>
        <v>186.64999999999998</v>
      </c>
      <c r="G99" s="1">
        <f t="shared" si="39"/>
        <v>0</v>
      </c>
      <c r="H99" s="1">
        <v>9.9429999999999996</v>
      </c>
      <c r="I99" s="1">
        <v>0.34770000000000001</v>
      </c>
      <c r="M99" s="1">
        <v>4.7699999999999996</v>
      </c>
      <c r="N99" s="1">
        <f t="shared" si="40"/>
        <v>1.6585289999999999</v>
      </c>
      <c r="O99">
        <f t="shared" ref="O99:O121" si="59">C99-$H$2+O98</f>
        <v>-0.4539999999999651</v>
      </c>
      <c r="P99">
        <f t="shared" ref="P99:P121" si="60">MAX(0,($C99-$H$2))+P98</f>
        <v>14.136000000000015</v>
      </c>
      <c r="Q99">
        <f t="shared" ref="Q99:Q121" si="61">MAX(0,($H$2-$C99))+Q98</f>
        <v>14.58999999999998</v>
      </c>
      <c r="R99">
        <f t="shared" ref="R99:R121" si="62">MAX(0,($C99-$H$2+R98))</f>
        <v>0.69300000000001916</v>
      </c>
      <c r="S99">
        <f t="shared" ref="S99:S121" si="63">MAX(0,($H$2-$C99+S98))</f>
        <v>3.0489999999999746</v>
      </c>
      <c r="T99">
        <f t="shared" ref="T99:T121" si="64">MAX(0,($C99-$H$2-$L$2+T98))</f>
        <v>0</v>
      </c>
      <c r="U99">
        <f t="shared" ref="U99:U121" si="65">MAX(0,($H$2-$C99-$L$2+U98))</f>
        <v>0.56915000000000027</v>
      </c>
      <c r="V99">
        <f t="shared" si="51"/>
        <v>0</v>
      </c>
      <c r="W99">
        <f t="shared" si="52"/>
        <v>0</v>
      </c>
      <c r="X99">
        <f t="shared" ref="X99:X121" si="66">MAX(0,($C99-$H$2-$L$2+X98))</f>
        <v>0</v>
      </c>
      <c r="Y99">
        <f t="shared" si="58"/>
        <v>-2.1368996261144675</v>
      </c>
      <c r="Z99">
        <f t="shared" si="53"/>
        <v>0</v>
      </c>
      <c r="AA99">
        <f t="shared" si="54"/>
        <v>-1.6368996261144675</v>
      </c>
      <c r="AB99">
        <f t="shared" si="55"/>
        <v>1.8332774033383969</v>
      </c>
      <c r="AC99">
        <f t="shared" si="56"/>
        <v>1.3332774033383969</v>
      </c>
      <c r="AD99">
        <f t="shared" si="57"/>
        <v>0</v>
      </c>
    </row>
    <row r="100" spans="1:30" x14ac:dyDescent="0.3">
      <c r="A100" s="1">
        <v>99</v>
      </c>
      <c r="B100" s="1">
        <v>17</v>
      </c>
      <c r="C100" s="1">
        <v>10.5</v>
      </c>
      <c r="D100" s="1">
        <f t="shared" si="49"/>
        <v>29.799999999999997</v>
      </c>
      <c r="E100" s="1">
        <f t="shared" si="37"/>
        <v>0</v>
      </c>
      <c r="F100" s="1">
        <f t="shared" si="50"/>
        <v>296.89999999999998</v>
      </c>
      <c r="G100" s="1">
        <f t="shared" si="39"/>
        <v>0</v>
      </c>
      <c r="H100" s="1">
        <v>9.9429999999999996</v>
      </c>
      <c r="I100" s="1">
        <v>0.34770000000000001</v>
      </c>
      <c r="M100" s="1">
        <v>4.7699999999999996</v>
      </c>
      <c r="N100" s="1">
        <f t="shared" si="40"/>
        <v>1.6585289999999999</v>
      </c>
      <c r="O100">
        <f t="shared" si="59"/>
        <v>0.10300000000003529</v>
      </c>
      <c r="P100">
        <f t="shared" si="60"/>
        <v>14.693000000000016</v>
      </c>
      <c r="Q100">
        <f t="shared" si="61"/>
        <v>14.58999999999998</v>
      </c>
      <c r="R100">
        <f t="shared" si="62"/>
        <v>1.2500000000000195</v>
      </c>
      <c r="S100">
        <f t="shared" si="63"/>
        <v>2.4919999999999742</v>
      </c>
      <c r="T100">
        <f t="shared" si="64"/>
        <v>0.38315000000000038</v>
      </c>
      <c r="U100">
        <f t="shared" si="65"/>
        <v>0</v>
      </c>
      <c r="V100">
        <f t="shared" si="51"/>
        <v>1</v>
      </c>
      <c r="W100">
        <f t="shared" si="52"/>
        <v>0</v>
      </c>
      <c r="X100">
        <f t="shared" si="66"/>
        <v>0.38315000000000038</v>
      </c>
      <c r="Y100">
        <f t="shared" si="58"/>
        <v>1.6019557089444934</v>
      </c>
      <c r="Z100">
        <f t="shared" si="53"/>
        <v>1.1019557089444934</v>
      </c>
      <c r="AA100">
        <f t="shared" si="54"/>
        <v>0</v>
      </c>
      <c r="AB100">
        <f t="shared" si="55"/>
        <v>1.2713005438907443</v>
      </c>
      <c r="AC100">
        <f t="shared" si="56"/>
        <v>2.1045779472291413</v>
      </c>
      <c r="AD100">
        <f t="shared" si="57"/>
        <v>0</v>
      </c>
    </row>
    <row r="101" spans="1:30" x14ac:dyDescent="0.3">
      <c r="A101" s="1">
        <v>100</v>
      </c>
      <c r="B101" s="1">
        <v>17</v>
      </c>
      <c r="C101" s="1">
        <v>9.9</v>
      </c>
      <c r="D101" s="1">
        <f t="shared" si="49"/>
        <v>39.699999999999996</v>
      </c>
      <c r="E101" s="1">
        <f t="shared" si="37"/>
        <v>0</v>
      </c>
      <c r="F101" s="1">
        <f t="shared" si="50"/>
        <v>394.90999999999997</v>
      </c>
      <c r="G101" s="1">
        <f t="shared" si="39"/>
        <v>0</v>
      </c>
      <c r="H101" s="1">
        <v>9.9429999999999996</v>
      </c>
      <c r="I101" s="1">
        <v>0.34770000000000001</v>
      </c>
      <c r="M101" s="1">
        <v>4.7699999999999996</v>
      </c>
      <c r="N101" s="1">
        <f t="shared" si="40"/>
        <v>1.6585289999999999</v>
      </c>
      <c r="O101">
        <f t="shared" si="59"/>
        <v>6.0000000000036025E-2</v>
      </c>
      <c r="P101">
        <f t="shared" si="60"/>
        <v>14.693000000000016</v>
      </c>
      <c r="Q101">
        <f t="shared" si="61"/>
        <v>14.63299999999998</v>
      </c>
      <c r="R101">
        <f t="shared" si="62"/>
        <v>1.2070000000000203</v>
      </c>
      <c r="S101">
        <f t="shared" si="63"/>
        <v>2.5349999999999735</v>
      </c>
      <c r="T101">
        <f t="shared" si="64"/>
        <v>0.16630000000000111</v>
      </c>
      <c r="U101">
        <f t="shared" si="65"/>
        <v>0</v>
      </c>
      <c r="V101">
        <f t="shared" si="51"/>
        <v>2</v>
      </c>
      <c r="W101">
        <f t="shared" si="52"/>
        <v>0</v>
      </c>
      <c r="X101">
        <f t="shared" si="66"/>
        <v>0.16630000000000111</v>
      </c>
      <c r="Y101">
        <f t="shared" si="58"/>
        <v>-0.12366983031348651</v>
      </c>
      <c r="Z101">
        <f t="shared" si="53"/>
        <v>0.4782858786310068</v>
      </c>
      <c r="AA101">
        <f t="shared" si="54"/>
        <v>0</v>
      </c>
      <c r="AB101">
        <f t="shared" si="55"/>
        <v>-1.3476584088962507</v>
      </c>
      <c r="AC101">
        <f t="shared" si="56"/>
        <v>0.25691953833289061</v>
      </c>
      <c r="AD101">
        <f t="shared" si="57"/>
        <v>-0.84765840889625066</v>
      </c>
    </row>
    <row r="102" spans="1:30" x14ac:dyDescent="0.3">
      <c r="A102" s="1">
        <v>101</v>
      </c>
      <c r="B102" s="1">
        <v>17</v>
      </c>
      <c r="C102" s="1">
        <v>10</v>
      </c>
      <c r="D102" s="1">
        <f t="shared" si="49"/>
        <v>49.699999999999996</v>
      </c>
      <c r="E102" s="1">
        <f t="shared" si="37"/>
        <v>0</v>
      </c>
      <c r="F102" s="1">
        <f t="shared" si="50"/>
        <v>494.90999999999997</v>
      </c>
      <c r="G102" s="1">
        <f t="shared" si="39"/>
        <v>0</v>
      </c>
      <c r="H102" s="1">
        <v>9.9429999999999996</v>
      </c>
      <c r="I102" s="1">
        <v>0.34770000000000001</v>
      </c>
      <c r="M102" s="1">
        <v>4.7699999999999996</v>
      </c>
      <c r="N102" s="1">
        <f t="shared" si="40"/>
        <v>1.6585289999999999</v>
      </c>
      <c r="O102">
        <f t="shared" si="59"/>
        <v>0.11700000000003641</v>
      </c>
      <c r="P102">
        <f t="shared" si="60"/>
        <v>14.750000000000016</v>
      </c>
      <c r="Q102">
        <f t="shared" si="61"/>
        <v>14.63299999999998</v>
      </c>
      <c r="R102">
        <f t="shared" si="62"/>
        <v>1.2640000000000207</v>
      </c>
      <c r="S102">
        <f t="shared" si="63"/>
        <v>2.4779999999999731</v>
      </c>
      <c r="T102">
        <f t="shared" si="64"/>
        <v>4.9450000000001493E-2</v>
      </c>
      <c r="U102">
        <f t="shared" si="65"/>
        <v>0</v>
      </c>
      <c r="V102">
        <f t="shared" si="51"/>
        <v>3</v>
      </c>
      <c r="W102">
        <f t="shared" si="52"/>
        <v>0</v>
      </c>
      <c r="X102">
        <f t="shared" si="66"/>
        <v>4.9450000000001493E-2</v>
      </c>
      <c r="Y102">
        <f t="shared" si="58"/>
        <v>0.16393442622950929</v>
      </c>
      <c r="Z102">
        <f t="shared" si="53"/>
        <v>0.14222030486051607</v>
      </c>
      <c r="AA102">
        <f t="shared" si="54"/>
        <v>0</v>
      </c>
      <c r="AB102">
        <f t="shared" si="55"/>
        <v>-1.1951628507465348</v>
      </c>
      <c r="AC102">
        <f t="shared" si="56"/>
        <v>0</v>
      </c>
      <c r="AD102">
        <f t="shared" si="57"/>
        <v>0</v>
      </c>
    </row>
    <row r="103" spans="1:30" x14ac:dyDescent="0.3">
      <c r="A103" s="1">
        <v>102</v>
      </c>
      <c r="B103" s="1">
        <v>17</v>
      </c>
      <c r="C103" s="1">
        <v>9.9</v>
      </c>
      <c r="D103" s="1">
        <f t="shared" si="49"/>
        <v>59.599999999999994</v>
      </c>
      <c r="E103" s="1">
        <f t="shared" si="37"/>
        <v>9.9333333333333318</v>
      </c>
      <c r="F103" s="1">
        <f t="shared" si="50"/>
        <v>592.91999999999996</v>
      </c>
      <c r="G103" s="1">
        <f t="shared" si="39"/>
        <v>0.1786666666667088</v>
      </c>
      <c r="H103" s="1">
        <v>9.9429999999999996</v>
      </c>
      <c r="I103" s="1">
        <v>0.34770000000000001</v>
      </c>
      <c r="M103" s="1">
        <v>4.7699999999999996</v>
      </c>
      <c r="N103" s="1">
        <f t="shared" si="40"/>
        <v>1.6585289999999999</v>
      </c>
      <c r="O103">
        <f t="shared" si="59"/>
        <v>7.4000000000037147E-2</v>
      </c>
      <c r="P103">
        <f t="shared" si="60"/>
        <v>14.750000000000016</v>
      </c>
      <c r="Q103">
        <f t="shared" si="61"/>
        <v>14.675999999999979</v>
      </c>
      <c r="R103">
        <f t="shared" si="62"/>
        <v>1.2210000000000214</v>
      </c>
      <c r="S103">
        <f t="shared" si="63"/>
        <v>2.5209999999999724</v>
      </c>
      <c r="T103">
        <f t="shared" si="64"/>
        <v>0</v>
      </c>
      <c r="U103">
        <f t="shared" si="65"/>
        <v>0</v>
      </c>
      <c r="V103">
        <f t="shared" si="51"/>
        <v>0</v>
      </c>
      <c r="W103">
        <f t="shared" si="52"/>
        <v>0</v>
      </c>
      <c r="X103">
        <f t="shared" si="66"/>
        <v>0</v>
      </c>
      <c r="Y103">
        <f t="shared" si="58"/>
        <v>-0.12366983031348651</v>
      </c>
      <c r="Z103">
        <f t="shared" si="53"/>
        <v>0</v>
      </c>
      <c r="AA103">
        <f t="shared" si="54"/>
        <v>0</v>
      </c>
      <c r="AB103">
        <f t="shared" si="55"/>
        <v>-1.3476584088962507</v>
      </c>
      <c r="AC103">
        <f t="shared" si="56"/>
        <v>0</v>
      </c>
      <c r="AD103">
        <f t="shared" si="57"/>
        <v>-0.84765840889625066</v>
      </c>
    </row>
    <row r="104" spans="1:30" x14ac:dyDescent="0.3">
      <c r="A104" s="1">
        <v>103</v>
      </c>
      <c r="B104" s="1">
        <v>18</v>
      </c>
      <c r="C104" s="1">
        <v>10.3</v>
      </c>
      <c r="D104" s="1">
        <f t="shared" si="49"/>
        <v>10.3</v>
      </c>
      <c r="E104" s="1">
        <f t="shared" si="37"/>
        <v>0</v>
      </c>
      <c r="F104" s="1">
        <f t="shared" si="50"/>
        <v>106.09000000000002</v>
      </c>
      <c r="G104" s="1">
        <f t="shared" si="39"/>
        <v>0</v>
      </c>
      <c r="H104" s="1">
        <v>9.9429999999999996</v>
      </c>
      <c r="I104" s="1">
        <v>0.34770000000000001</v>
      </c>
      <c r="M104" s="1">
        <v>4.7699999999999996</v>
      </c>
      <c r="N104" s="1">
        <f t="shared" si="40"/>
        <v>1.6585289999999999</v>
      </c>
      <c r="O104">
        <f t="shared" si="59"/>
        <v>0.43100000000003824</v>
      </c>
      <c r="P104">
        <f t="shared" si="60"/>
        <v>15.107000000000017</v>
      </c>
      <c r="Q104">
        <f t="shared" si="61"/>
        <v>14.675999999999979</v>
      </c>
      <c r="R104">
        <f t="shared" si="62"/>
        <v>1.5780000000000225</v>
      </c>
      <c r="S104">
        <f t="shared" si="63"/>
        <v>2.1639999999999713</v>
      </c>
      <c r="T104">
        <f t="shared" si="64"/>
        <v>0.18315000000000109</v>
      </c>
      <c r="U104">
        <f t="shared" si="65"/>
        <v>0</v>
      </c>
      <c r="V104">
        <f t="shared" si="51"/>
        <v>1</v>
      </c>
      <c r="W104">
        <f t="shared" si="52"/>
        <v>0</v>
      </c>
      <c r="X104">
        <f t="shared" si="66"/>
        <v>0.18315000000000109</v>
      </c>
      <c r="Y104">
        <f t="shared" si="58"/>
        <v>1.0267471958585017</v>
      </c>
      <c r="Z104">
        <f t="shared" si="53"/>
        <v>0.52674719585850172</v>
      </c>
      <c r="AA104">
        <f t="shared" si="54"/>
        <v>0</v>
      </c>
      <c r="AB104">
        <f t="shared" si="55"/>
        <v>0.54809555214191641</v>
      </c>
      <c r="AC104">
        <f t="shared" si="56"/>
        <v>4.8095552141916409E-2</v>
      </c>
      <c r="AD104">
        <f t="shared" si="57"/>
        <v>0</v>
      </c>
    </row>
    <row r="105" spans="1:30" x14ac:dyDescent="0.3">
      <c r="A105" s="1">
        <v>104</v>
      </c>
      <c r="B105" s="1">
        <v>18</v>
      </c>
      <c r="C105" s="1">
        <v>9.8000000000000007</v>
      </c>
      <c r="D105" s="1">
        <f t="shared" si="49"/>
        <v>20.100000000000001</v>
      </c>
      <c r="E105" s="1">
        <f t="shared" si="37"/>
        <v>0</v>
      </c>
      <c r="F105" s="1">
        <f t="shared" si="50"/>
        <v>202.13000000000005</v>
      </c>
      <c r="G105" s="1">
        <f t="shared" si="39"/>
        <v>0</v>
      </c>
      <c r="H105" s="1">
        <v>9.9429999999999996</v>
      </c>
      <c r="I105" s="1">
        <v>0.34770000000000001</v>
      </c>
      <c r="M105" s="1">
        <v>4.7699999999999996</v>
      </c>
      <c r="N105" s="1">
        <f t="shared" si="40"/>
        <v>1.6585289999999999</v>
      </c>
      <c r="O105">
        <f t="shared" si="59"/>
        <v>0.28800000000003934</v>
      </c>
      <c r="P105">
        <f t="shared" si="60"/>
        <v>15.107000000000017</v>
      </c>
      <c r="Q105">
        <f t="shared" si="61"/>
        <v>14.818999999999978</v>
      </c>
      <c r="R105">
        <f t="shared" si="62"/>
        <v>1.4350000000000236</v>
      </c>
      <c r="S105">
        <f t="shared" si="63"/>
        <v>2.3069999999999702</v>
      </c>
      <c r="T105">
        <f t="shared" si="64"/>
        <v>0</v>
      </c>
      <c r="U105">
        <f t="shared" si="65"/>
        <v>0</v>
      </c>
      <c r="V105">
        <f t="shared" si="51"/>
        <v>0</v>
      </c>
      <c r="W105">
        <f t="shared" si="52"/>
        <v>0</v>
      </c>
      <c r="X105">
        <f t="shared" si="66"/>
        <v>0</v>
      </c>
      <c r="Y105">
        <f t="shared" si="58"/>
        <v>-0.41127408685648231</v>
      </c>
      <c r="Z105">
        <f t="shared" si="53"/>
        <v>0</v>
      </c>
      <c r="AA105">
        <f t="shared" si="54"/>
        <v>0</v>
      </c>
      <c r="AB105">
        <f t="shared" si="55"/>
        <v>-0.51774628449102322</v>
      </c>
      <c r="AC105">
        <f t="shared" si="56"/>
        <v>0</v>
      </c>
      <c r="AD105">
        <f t="shared" si="57"/>
        <v>-1.7746284491023223E-2</v>
      </c>
    </row>
    <row r="106" spans="1:30" x14ac:dyDescent="0.3">
      <c r="A106" s="1">
        <v>105</v>
      </c>
      <c r="B106" s="1">
        <v>18</v>
      </c>
      <c r="C106" s="1">
        <v>9.6</v>
      </c>
      <c r="D106" s="1">
        <f t="shared" si="49"/>
        <v>29.700000000000003</v>
      </c>
      <c r="E106" s="1">
        <f t="shared" si="37"/>
        <v>0</v>
      </c>
      <c r="F106" s="1">
        <f t="shared" si="50"/>
        <v>294.29000000000008</v>
      </c>
      <c r="G106" s="1">
        <f t="shared" si="39"/>
        <v>0</v>
      </c>
      <c r="H106" s="1">
        <v>9.9429999999999996</v>
      </c>
      <c r="I106" s="1">
        <v>0.34770000000000001</v>
      </c>
      <c r="M106" s="1">
        <v>4.7699999999999996</v>
      </c>
      <c r="N106" s="1">
        <f t="shared" si="40"/>
        <v>1.6585289999999999</v>
      </c>
      <c r="O106">
        <f t="shared" si="59"/>
        <v>-5.4999999999960636E-2</v>
      </c>
      <c r="P106">
        <f t="shared" si="60"/>
        <v>15.107000000000017</v>
      </c>
      <c r="Q106">
        <f t="shared" si="61"/>
        <v>15.161999999999978</v>
      </c>
      <c r="R106">
        <f t="shared" si="62"/>
        <v>1.0920000000000236</v>
      </c>
      <c r="S106">
        <f t="shared" si="63"/>
        <v>2.6499999999999702</v>
      </c>
      <c r="T106">
        <f t="shared" si="64"/>
        <v>0</v>
      </c>
      <c r="U106">
        <f t="shared" si="65"/>
        <v>0.16914999999999997</v>
      </c>
      <c r="V106">
        <f t="shared" si="51"/>
        <v>0</v>
      </c>
      <c r="W106">
        <f t="shared" si="52"/>
        <v>0</v>
      </c>
      <c r="X106">
        <f t="shared" si="66"/>
        <v>0</v>
      </c>
      <c r="Y106">
        <f t="shared" si="58"/>
        <v>-0.986482599942479</v>
      </c>
      <c r="Z106">
        <f t="shared" si="53"/>
        <v>0</v>
      </c>
      <c r="AA106">
        <f t="shared" si="54"/>
        <v>-0.486482599942479</v>
      </c>
      <c r="AB106">
        <f t="shared" si="55"/>
        <v>0.49059686038043321</v>
      </c>
      <c r="AC106">
        <f t="shared" si="56"/>
        <v>0</v>
      </c>
      <c r="AD106">
        <f t="shared" si="57"/>
        <v>0</v>
      </c>
    </row>
    <row r="107" spans="1:30" x14ac:dyDescent="0.3">
      <c r="A107" s="1">
        <v>106</v>
      </c>
      <c r="B107" s="1">
        <v>18</v>
      </c>
      <c r="C107" s="1">
        <v>10.1</v>
      </c>
      <c r="D107" s="1">
        <f t="shared" si="49"/>
        <v>39.800000000000004</v>
      </c>
      <c r="E107" s="1">
        <f t="shared" si="37"/>
        <v>0</v>
      </c>
      <c r="F107" s="1">
        <f t="shared" si="50"/>
        <v>396.30000000000007</v>
      </c>
      <c r="G107" s="1">
        <f t="shared" si="39"/>
        <v>0</v>
      </c>
      <c r="H107" s="1">
        <v>9.9429999999999996</v>
      </c>
      <c r="I107" s="1">
        <v>0.34770000000000001</v>
      </c>
      <c r="M107" s="1">
        <v>4.7699999999999996</v>
      </c>
      <c r="N107" s="1">
        <f t="shared" si="40"/>
        <v>1.6585289999999999</v>
      </c>
      <c r="O107">
        <f t="shared" si="59"/>
        <v>0.10200000000003939</v>
      </c>
      <c r="P107">
        <f t="shared" si="60"/>
        <v>15.264000000000017</v>
      </c>
      <c r="Q107">
        <f t="shared" si="61"/>
        <v>15.161999999999978</v>
      </c>
      <c r="R107">
        <f t="shared" si="62"/>
        <v>1.2490000000000236</v>
      </c>
      <c r="S107">
        <f t="shared" si="63"/>
        <v>2.4929999999999701</v>
      </c>
      <c r="T107">
        <f t="shared" si="64"/>
        <v>0</v>
      </c>
      <c r="U107">
        <f t="shared" si="65"/>
        <v>0</v>
      </c>
      <c r="V107">
        <f t="shared" si="51"/>
        <v>0</v>
      </c>
      <c r="W107">
        <f t="shared" si="52"/>
        <v>0</v>
      </c>
      <c r="X107">
        <f t="shared" si="66"/>
        <v>0</v>
      </c>
      <c r="Y107">
        <f t="shared" si="58"/>
        <v>0.45153868277250508</v>
      </c>
      <c r="Z107">
        <f t="shared" si="53"/>
        <v>0</v>
      </c>
      <c r="AA107">
        <f t="shared" si="54"/>
        <v>0</v>
      </c>
      <c r="AB107">
        <f t="shared" si="55"/>
        <v>-0.42989604304063328</v>
      </c>
      <c r="AC107">
        <f t="shared" si="56"/>
        <v>0</v>
      </c>
      <c r="AD107">
        <f t="shared" si="57"/>
        <v>0</v>
      </c>
    </row>
    <row r="108" spans="1:30" x14ac:dyDescent="0.3">
      <c r="A108" s="1">
        <v>107</v>
      </c>
      <c r="B108" s="1">
        <v>18</v>
      </c>
      <c r="C108" s="1">
        <v>9.6999999999999993</v>
      </c>
      <c r="D108" s="1">
        <f t="shared" si="49"/>
        <v>49.5</v>
      </c>
      <c r="E108" s="1">
        <f t="shared" si="37"/>
        <v>0</v>
      </c>
      <c r="F108" s="1">
        <f t="shared" si="50"/>
        <v>490.39000000000004</v>
      </c>
      <c r="G108" s="1">
        <f t="shared" si="39"/>
        <v>0</v>
      </c>
      <c r="H108" s="1">
        <v>9.9429999999999996</v>
      </c>
      <c r="I108" s="1">
        <v>0.34770000000000001</v>
      </c>
      <c r="M108" s="1">
        <v>4.7699999999999996</v>
      </c>
      <c r="N108" s="1">
        <f t="shared" si="40"/>
        <v>1.6585289999999999</v>
      </c>
      <c r="O108">
        <f t="shared" si="59"/>
        <v>-0.14099999999996093</v>
      </c>
      <c r="P108">
        <f t="shared" si="60"/>
        <v>15.264000000000017</v>
      </c>
      <c r="Q108">
        <f t="shared" si="61"/>
        <v>15.404999999999978</v>
      </c>
      <c r="R108">
        <f t="shared" si="62"/>
        <v>1.0060000000000233</v>
      </c>
      <c r="S108">
        <f t="shared" si="63"/>
        <v>2.7359999999999705</v>
      </c>
      <c r="T108">
        <f t="shared" si="64"/>
        <v>0</v>
      </c>
      <c r="U108">
        <f t="shared" si="65"/>
        <v>6.9150000000000322E-2</v>
      </c>
      <c r="V108">
        <f t="shared" si="51"/>
        <v>0</v>
      </c>
      <c r="W108">
        <f t="shared" si="52"/>
        <v>0</v>
      </c>
      <c r="X108">
        <f t="shared" si="66"/>
        <v>0</v>
      </c>
      <c r="Y108">
        <f t="shared" si="58"/>
        <v>-0.69887834339948318</v>
      </c>
      <c r="Z108">
        <f t="shared" si="53"/>
        <v>0</v>
      </c>
      <c r="AA108">
        <f t="shared" si="54"/>
        <v>-0.19887834339948318</v>
      </c>
      <c r="AB108">
        <f t="shared" si="55"/>
        <v>4.0084354629023308E-2</v>
      </c>
      <c r="AC108">
        <f t="shared" si="56"/>
        <v>0</v>
      </c>
      <c r="AD108">
        <f t="shared" si="57"/>
        <v>0</v>
      </c>
    </row>
    <row r="109" spans="1:30" x14ac:dyDescent="0.3">
      <c r="A109" s="1">
        <v>108</v>
      </c>
      <c r="B109" s="1">
        <v>18</v>
      </c>
      <c r="C109" s="1">
        <v>9.8000000000000007</v>
      </c>
      <c r="D109" s="1">
        <f t="shared" si="49"/>
        <v>59.3</v>
      </c>
      <c r="E109" s="1">
        <f t="shared" si="37"/>
        <v>9.8833333333333329</v>
      </c>
      <c r="F109" s="1">
        <f t="shared" si="50"/>
        <v>586.43000000000006</v>
      </c>
      <c r="G109" s="1">
        <f t="shared" si="39"/>
        <v>6.9666666666671512E-2</v>
      </c>
      <c r="H109" s="1">
        <v>9.9429999999999996</v>
      </c>
      <c r="I109" s="1">
        <v>0.34770000000000001</v>
      </c>
      <c r="M109" s="1">
        <v>4.7699999999999996</v>
      </c>
      <c r="N109" s="1">
        <f t="shared" si="40"/>
        <v>1.6585289999999999</v>
      </c>
      <c r="O109">
        <f t="shared" si="59"/>
        <v>-0.28399999999995984</v>
      </c>
      <c r="P109">
        <f t="shared" si="60"/>
        <v>15.264000000000017</v>
      </c>
      <c r="Q109">
        <f t="shared" si="61"/>
        <v>15.547999999999977</v>
      </c>
      <c r="R109">
        <f t="shared" si="62"/>
        <v>0.86300000000002441</v>
      </c>
      <c r="S109">
        <f t="shared" si="63"/>
        <v>2.8789999999999694</v>
      </c>
      <c r="T109">
        <f t="shared" si="64"/>
        <v>0</v>
      </c>
      <c r="U109">
        <f t="shared" si="65"/>
        <v>3.8299999999999224E-2</v>
      </c>
      <c r="V109">
        <f t="shared" si="51"/>
        <v>0</v>
      </c>
      <c r="W109">
        <f t="shared" si="52"/>
        <v>0</v>
      </c>
      <c r="X109">
        <f t="shared" si="66"/>
        <v>0</v>
      </c>
      <c r="Y109">
        <f t="shared" si="58"/>
        <v>-0.41127408685648231</v>
      </c>
      <c r="Z109">
        <f t="shared" si="53"/>
        <v>0</v>
      </c>
      <c r="AA109">
        <f t="shared" si="54"/>
        <v>0</v>
      </c>
      <c r="AB109">
        <f t="shared" si="55"/>
        <v>-0.51774628449102322</v>
      </c>
      <c r="AC109">
        <f t="shared" si="56"/>
        <v>0</v>
      </c>
      <c r="AD109">
        <f t="shared" si="57"/>
        <v>-1.7746284491023223E-2</v>
      </c>
    </row>
    <row r="110" spans="1:30" x14ac:dyDescent="0.3">
      <c r="A110" s="1">
        <v>109</v>
      </c>
      <c r="B110" s="1">
        <v>19</v>
      </c>
      <c r="C110" s="1">
        <v>9.8000000000000007</v>
      </c>
      <c r="D110" s="1">
        <f t="shared" si="49"/>
        <v>9.8000000000000007</v>
      </c>
      <c r="E110" s="1">
        <f t="shared" si="37"/>
        <v>0</v>
      </c>
      <c r="F110" s="1">
        <f t="shared" si="50"/>
        <v>96.04000000000002</v>
      </c>
      <c r="G110" s="1">
        <f t="shared" si="39"/>
        <v>0</v>
      </c>
      <c r="H110" s="1">
        <v>9.9429999999999996</v>
      </c>
      <c r="I110" s="1">
        <v>0.34770000000000001</v>
      </c>
      <c r="M110" s="1">
        <v>4.7699999999999996</v>
      </c>
      <c r="N110" s="1">
        <f t="shared" si="40"/>
        <v>1.6585289999999999</v>
      </c>
      <c r="O110">
        <f t="shared" si="59"/>
        <v>-0.42699999999995875</v>
      </c>
      <c r="P110">
        <f t="shared" si="60"/>
        <v>15.264000000000017</v>
      </c>
      <c r="Q110">
        <f t="shared" si="61"/>
        <v>15.690999999999976</v>
      </c>
      <c r="R110">
        <f t="shared" si="62"/>
        <v>0.72000000000002551</v>
      </c>
      <c r="S110">
        <f t="shared" si="63"/>
        <v>3.0219999999999683</v>
      </c>
      <c r="T110">
        <f t="shared" si="64"/>
        <v>0</v>
      </c>
      <c r="U110">
        <f t="shared" si="65"/>
        <v>7.4499999999981248E-3</v>
      </c>
      <c r="V110">
        <f t="shared" si="51"/>
        <v>0</v>
      </c>
      <c r="W110">
        <f t="shared" si="52"/>
        <v>0</v>
      </c>
      <c r="X110">
        <f t="shared" si="66"/>
        <v>0</v>
      </c>
      <c r="Y110">
        <f t="shared" si="58"/>
        <v>-0.41127408685648231</v>
      </c>
      <c r="Z110">
        <f t="shared" si="53"/>
        <v>0</v>
      </c>
      <c r="AA110">
        <f t="shared" si="54"/>
        <v>0</v>
      </c>
      <c r="AB110">
        <f t="shared" si="55"/>
        <v>-0.51774628449102322</v>
      </c>
      <c r="AC110">
        <f t="shared" si="56"/>
        <v>0</v>
      </c>
      <c r="AD110">
        <f t="shared" si="57"/>
        <v>0</v>
      </c>
    </row>
    <row r="111" spans="1:30" x14ac:dyDescent="0.3">
      <c r="A111" s="1">
        <v>110</v>
      </c>
      <c r="B111" s="1">
        <v>19</v>
      </c>
      <c r="C111" s="1">
        <v>10</v>
      </c>
      <c r="D111" s="1">
        <f t="shared" si="49"/>
        <v>19.8</v>
      </c>
      <c r="E111" s="1">
        <f t="shared" si="37"/>
        <v>0</v>
      </c>
      <c r="F111" s="1">
        <f t="shared" si="50"/>
        <v>196.04000000000002</v>
      </c>
      <c r="G111" s="1">
        <f t="shared" si="39"/>
        <v>0</v>
      </c>
      <c r="H111" s="1">
        <v>9.9429999999999996</v>
      </c>
      <c r="I111" s="1">
        <v>0.34770000000000001</v>
      </c>
      <c r="M111" s="1">
        <v>4.7699999999999996</v>
      </c>
      <c r="N111" s="1">
        <f t="shared" si="40"/>
        <v>1.6585289999999999</v>
      </c>
      <c r="O111">
        <f t="shared" si="59"/>
        <v>-0.36999999999995836</v>
      </c>
      <c r="P111">
        <f t="shared" si="60"/>
        <v>15.321000000000017</v>
      </c>
      <c r="Q111">
        <f t="shared" si="61"/>
        <v>15.690999999999976</v>
      </c>
      <c r="R111">
        <f t="shared" si="62"/>
        <v>0.77700000000002589</v>
      </c>
      <c r="S111">
        <f t="shared" si="63"/>
        <v>2.9649999999999679</v>
      </c>
      <c r="T111">
        <f t="shared" si="64"/>
        <v>0</v>
      </c>
      <c r="U111">
        <f t="shared" si="65"/>
        <v>0</v>
      </c>
      <c r="V111">
        <f t="shared" si="51"/>
        <v>0</v>
      </c>
      <c r="W111">
        <f t="shared" si="52"/>
        <v>0</v>
      </c>
      <c r="X111">
        <f t="shared" si="66"/>
        <v>0</v>
      </c>
      <c r="Y111">
        <f t="shared" si="58"/>
        <v>0.16393442622950929</v>
      </c>
      <c r="Z111">
        <f t="shared" si="53"/>
        <v>0</v>
      </c>
      <c r="AA111">
        <f t="shared" si="54"/>
        <v>0</v>
      </c>
      <c r="AB111">
        <f t="shared" si="55"/>
        <v>-1.1951628507465348</v>
      </c>
      <c r="AC111">
        <f t="shared" si="56"/>
        <v>0</v>
      </c>
      <c r="AD111">
        <f t="shared" si="57"/>
        <v>-0.69516285074653483</v>
      </c>
    </row>
    <row r="112" spans="1:30" x14ac:dyDescent="0.3">
      <c r="A112" s="1">
        <v>111</v>
      </c>
      <c r="B112" s="1">
        <v>19</v>
      </c>
      <c r="C112" s="1">
        <v>10.3</v>
      </c>
      <c r="D112" s="1">
        <f t="shared" si="49"/>
        <v>30.1</v>
      </c>
      <c r="E112" s="1">
        <f t="shared" si="37"/>
        <v>0</v>
      </c>
      <c r="F112" s="1">
        <f t="shared" si="50"/>
        <v>302.13000000000005</v>
      </c>
      <c r="G112" s="1">
        <f t="shared" si="39"/>
        <v>0</v>
      </c>
      <c r="H112" s="1">
        <v>9.9429999999999996</v>
      </c>
      <c r="I112" s="1">
        <v>0.34770000000000001</v>
      </c>
      <c r="M112" s="1">
        <v>4.7699999999999996</v>
      </c>
      <c r="N112" s="1">
        <f t="shared" si="40"/>
        <v>1.6585289999999999</v>
      </c>
      <c r="O112">
        <f t="shared" si="59"/>
        <v>-1.2999999999957268E-2</v>
      </c>
      <c r="P112">
        <f t="shared" si="60"/>
        <v>15.678000000000019</v>
      </c>
      <c r="Q112">
        <f t="shared" si="61"/>
        <v>15.690999999999976</v>
      </c>
      <c r="R112">
        <f t="shared" si="62"/>
        <v>1.134000000000027</v>
      </c>
      <c r="S112">
        <f t="shared" si="63"/>
        <v>2.6079999999999668</v>
      </c>
      <c r="T112">
        <f t="shared" si="64"/>
        <v>0.18315000000000109</v>
      </c>
      <c r="U112">
        <f t="shared" si="65"/>
        <v>0</v>
      </c>
      <c r="V112">
        <f t="shared" si="51"/>
        <v>1</v>
      </c>
      <c r="W112">
        <f t="shared" si="52"/>
        <v>0</v>
      </c>
      <c r="X112">
        <f t="shared" si="66"/>
        <v>0.18315000000000109</v>
      </c>
      <c r="Y112">
        <f t="shared" si="58"/>
        <v>1.0267471958585017</v>
      </c>
      <c r="Z112">
        <f t="shared" si="53"/>
        <v>0.52674719585850172</v>
      </c>
      <c r="AA112">
        <f t="shared" si="54"/>
        <v>0</v>
      </c>
      <c r="AB112">
        <f t="shared" si="55"/>
        <v>0.54809555214191641</v>
      </c>
      <c r="AC112">
        <f t="shared" si="56"/>
        <v>4.8095552141916409E-2</v>
      </c>
      <c r="AD112">
        <f t="shared" si="57"/>
        <v>0</v>
      </c>
    </row>
    <row r="113" spans="1:30" x14ac:dyDescent="0.3">
      <c r="A113" s="1">
        <v>112</v>
      </c>
      <c r="B113" s="1">
        <v>19</v>
      </c>
      <c r="C113" s="1">
        <v>10.4</v>
      </c>
      <c r="D113" s="1">
        <f t="shared" si="49"/>
        <v>40.5</v>
      </c>
      <c r="E113" s="1">
        <f t="shared" si="37"/>
        <v>0</v>
      </c>
      <c r="F113" s="1">
        <f t="shared" si="50"/>
        <v>410.29000000000008</v>
      </c>
      <c r="G113" s="1">
        <f t="shared" si="39"/>
        <v>0</v>
      </c>
      <c r="H113" s="1">
        <v>9.9429999999999996</v>
      </c>
      <c r="I113" s="1">
        <v>0.34770000000000001</v>
      </c>
      <c r="M113" s="1">
        <v>4.7699999999999996</v>
      </c>
      <c r="N113" s="1">
        <f t="shared" si="40"/>
        <v>1.6585289999999999</v>
      </c>
      <c r="O113">
        <f t="shared" si="59"/>
        <v>0.44400000000004347</v>
      </c>
      <c r="P113">
        <f t="shared" si="60"/>
        <v>16.135000000000019</v>
      </c>
      <c r="Q113">
        <f t="shared" si="61"/>
        <v>15.690999999999976</v>
      </c>
      <c r="R113">
        <f t="shared" si="62"/>
        <v>1.5910000000000277</v>
      </c>
      <c r="S113">
        <f t="shared" si="63"/>
        <v>2.1509999999999661</v>
      </c>
      <c r="T113">
        <f t="shared" si="64"/>
        <v>0.46630000000000182</v>
      </c>
      <c r="U113">
        <f t="shared" si="65"/>
        <v>0</v>
      </c>
      <c r="V113">
        <f t="shared" si="51"/>
        <v>2</v>
      </c>
      <c r="W113">
        <f t="shared" si="52"/>
        <v>0</v>
      </c>
      <c r="X113">
        <f t="shared" si="66"/>
        <v>0.46630000000000182</v>
      </c>
      <c r="Y113">
        <f t="shared" si="58"/>
        <v>1.3143514524014976</v>
      </c>
      <c r="Z113">
        <f t="shared" si="53"/>
        <v>1.3410986482599994</v>
      </c>
      <c r="AA113">
        <f t="shared" si="54"/>
        <v>0</v>
      </c>
      <c r="AB113">
        <f t="shared" si="55"/>
        <v>0.92966097149613636</v>
      </c>
      <c r="AC113">
        <f t="shared" si="56"/>
        <v>0.47775652363805277</v>
      </c>
      <c r="AD113">
        <f t="shared" si="57"/>
        <v>0</v>
      </c>
    </row>
    <row r="114" spans="1:30" x14ac:dyDescent="0.3">
      <c r="A114" s="1">
        <v>113</v>
      </c>
      <c r="B114" s="1">
        <v>19</v>
      </c>
      <c r="C114" s="1">
        <v>10.4</v>
      </c>
      <c r="D114" s="1">
        <f t="shared" si="49"/>
        <v>50.9</v>
      </c>
      <c r="E114" s="1">
        <f t="shared" si="37"/>
        <v>0</v>
      </c>
      <c r="F114" s="1">
        <f t="shared" si="50"/>
        <v>518.45000000000005</v>
      </c>
      <c r="G114" s="1">
        <f t="shared" si="39"/>
        <v>0</v>
      </c>
      <c r="H114" s="1">
        <v>9.9429999999999996</v>
      </c>
      <c r="I114" s="1">
        <v>0.34770000000000001</v>
      </c>
      <c r="M114" s="1">
        <v>4.7699999999999996</v>
      </c>
      <c r="N114" s="1">
        <f t="shared" si="40"/>
        <v>1.6585289999999999</v>
      </c>
      <c r="O114">
        <f t="shared" si="59"/>
        <v>0.90100000000004421</v>
      </c>
      <c r="P114">
        <f t="shared" si="60"/>
        <v>16.59200000000002</v>
      </c>
      <c r="Q114">
        <f t="shared" si="61"/>
        <v>15.690999999999976</v>
      </c>
      <c r="R114">
        <f t="shared" si="62"/>
        <v>2.0480000000000285</v>
      </c>
      <c r="S114">
        <f t="shared" si="63"/>
        <v>1.6939999999999653</v>
      </c>
      <c r="T114">
        <f t="shared" si="64"/>
        <v>0.74945000000000261</v>
      </c>
      <c r="U114">
        <f t="shared" si="65"/>
        <v>0</v>
      </c>
      <c r="V114">
        <f t="shared" si="51"/>
        <v>3</v>
      </c>
      <c r="W114">
        <f t="shared" si="52"/>
        <v>0</v>
      </c>
      <c r="X114">
        <f t="shared" si="66"/>
        <v>0.74945000000000261</v>
      </c>
      <c r="Y114">
        <f t="shared" si="58"/>
        <v>1.3143514524014976</v>
      </c>
      <c r="Z114">
        <f t="shared" si="53"/>
        <v>2.155450100661497</v>
      </c>
      <c r="AA114">
        <f t="shared" si="54"/>
        <v>0</v>
      </c>
      <c r="AB114">
        <f t="shared" si="55"/>
        <v>0.92966097149613636</v>
      </c>
      <c r="AC114">
        <f t="shared" si="56"/>
        <v>0.90741749513418912</v>
      </c>
      <c r="AD114">
        <f t="shared" si="57"/>
        <v>0</v>
      </c>
    </row>
    <row r="115" spans="1:30" x14ac:dyDescent="0.3">
      <c r="A115" s="1">
        <v>114</v>
      </c>
      <c r="B115" s="1">
        <v>19</v>
      </c>
      <c r="C115" s="1">
        <v>9.6999999999999993</v>
      </c>
      <c r="D115" s="1">
        <f t="shared" si="49"/>
        <v>60.599999999999994</v>
      </c>
      <c r="E115" s="1">
        <f t="shared" si="37"/>
        <v>10.1</v>
      </c>
      <c r="F115" s="1">
        <f t="shared" si="50"/>
        <v>612.54000000000008</v>
      </c>
      <c r="G115" s="1">
        <f t="shared" si="39"/>
        <v>9.600000000002637E-2</v>
      </c>
      <c r="H115" s="1">
        <v>9.9429999999999996</v>
      </c>
      <c r="I115" s="1">
        <v>0.34770000000000001</v>
      </c>
      <c r="M115" s="1">
        <v>4.7699999999999996</v>
      </c>
      <c r="N115" s="1">
        <f t="shared" si="40"/>
        <v>1.6585289999999999</v>
      </c>
      <c r="O115">
        <f t="shared" si="59"/>
        <v>0.65800000000004388</v>
      </c>
      <c r="P115">
        <f t="shared" si="60"/>
        <v>16.59200000000002</v>
      </c>
      <c r="Q115">
        <f t="shared" si="61"/>
        <v>15.933999999999976</v>
      </c>
      <c r="R115">
        <f t="shared" si="62"/>
        <v>1.8050000000000281</v>
      </c>
      <c r="S115">
        <f t="shared" si="63"/>
        <v>1.9369999999999656</v>
      </c>
      <c r="T115">
        <f t="shared" si="64"/>
        <v>0.33260000000000228</v>
      </c>
      <c r="U115">
        <f t="shared" si="65"/>
        <v>6.9150000000000322E-2</v>
      </c>
      <c r="V115">
        <f t="shared" si="51"/>
        <v>4</v>
      </c>
      <c r="W115">
        <f t="shared" si="52"/>
        <v>0</v>
      </c>
      <c r="X115">
        <f t="shared" si="66"/>
        <v>0.33260000000000228</v>
      </c>
      <c r="Y115">
        <f t="shared" si="58"/>
        <v>-0.69887834339948318</v>
      </c>
      <c r="Z115">
        <f t="shared" si="53"/>
        <v>0.95657175726201382</v>
      </c>
      <c r="AA115">
        <f t="shared" si="54"/>
        <v>-0.19887834339948318</v>
      </c>
      <c r="AB115">
        <f t="shared" si="55"/>
        <v>4.0084354629023308E-2</v>
      </c>
      <c r="AC115">
        <f t="shared" si="56"/>
        <v>0.44750184976321244</v>
      </c>
      <c r="AD115">
        <f t="shared" si="57"/>
        <v>0</v>
      </c>
    </row>
    <row r="116" spans="1:30" x14ac:dyDescent="0.3">
      <c r="A116" s="1">
        <v>115</v>
      </c>
      <c r="B116" s="1">
        <v>20</v>
      </c>
      <c r="C116" s="1">
        <v>10.1</v>
      </c>
      <c r="D116" s="1">
        <f t="shared" si="49"/>
        <v>10.1</v>
      </c>
      <c r="E116" s="1">
        <f t="shared" si="37"/>
        <v>0</v>
      </c>
      <c r="F116" s="1">
        <f t="shared" si="50"/>
        <v>102.00999999999999</v>
      </c>
      <c r="G116" s="1">
        <f t="shared" si="39"/>
        <v>0</v>
      </c>
      <c r="H116" s="1">
        <v>9.9429999999999996</v>
      </c>
      <c r="I116" s="1">
        <v>0.34770000000000001</v>
      </c>
      <c r="M116" s="1">
        <v>4.7699999999999996</v>
      </c>
      <c r="N116" s="1">
        <f t="shared" si="40"/>
        <v>1.6585289999999999</v>
      </c>
      <c r="O116">
        <f t="shared" si="59"/>
        <v>0.81500000000004391</v>
      </c>
      <c r="P116">
        <f t="shared" si="60"/>
        <v>16.74900000000002</v>
      </c>
      <c r="Q116">
        <f t="shared" si="61"/>
        <v>15.933999999999976</v>
      </c>
      <c r="R116">
        <f t="shared" si="62"/>
        <v>1.9620000000000282</v>
      </c>
      <c r="S116">
        <f t="shared" si="63"/>
        <v>1.7799999999999656</v>
      </c>
      <c r="T116">
        <f t="shared" si="64"/>
        <v>0.31575000000000231</v>
      </c>
      <c r="U116">
        <f t="shared" si="65"/>
        <v>0</v>
      </c>
      <c r="V116">
        <f t="shared" si="51"/>
        <v>5</v>
      </c>
      <c r="W116">
        <f t="shared" si="52"/>
        <v>0</v>
      </c>
      <c r="X116">
        <f t="shared" si="66"/>
        <v>0.31575000000000231</v>
      </c>
      <c r="Y116">
        <f t="shared" si="58"/>
        <v>0.45153868277250508</v>
      </c>
      <c r="Z116">
        <f t="shared" si="53"/>
        <v>0.90811044003451891</v>
      </c>
      <c r="AA116">
        <f t="shared" si="54"/>
        <v>0</v>
      </c>
      <c r="AB116">
        <f t="shared" si="55"/>
        <v>-0.42989604304063328</v>
      </c>
      <c r="AC116">
        <f t="shared" si="56"/>
        <v>0</v>
      </c>
      <c r="AD116">
        <f t="shared" si="57"/>
        <v>0</v>
      </c>
    </row>
    <row r="117" spans="1:30" x14ac:dyDescent="0.3">
      <c r="A117" s="1">
        <v>116</v>
      </c>
      <c r="B117" s="1">
        <v>20</v>
      </c>
      <c r="C117" s="1">
        <v>9.6999999999999993</v>
      </c>
      <c r="D117" s="1">
        <f t="shared" si="49"/>
        <v>19.799999999999997</v>
      </c>
      <c r="E117" s="1">
        <f t="shared" si="37"/>
        <v>0</v>
      </c>
      <c r="F117" s="1">
        <f t="shared" si="50"/>
        <v>196.09999999999997</v>
      </c>
      <c r="G117" s="1">
        <f t="shared" si="39"/>
        <v>0</v>
      </c>
      <c r="H117" s="1">
        <v>9.9429999999999996</v>
      </c>
      <c r="I117" s="1">
        <v>0.34770000000000001</v>
      </c>
      <c r="M117" s="1">
        <v>4.7699999999999996</v>
      </c>
      <c r="N117" s="1">
        <f t="shared" si="40"/>
        <v>1.6585289999999999</v>
      </c>
      <c r="O117">
        <f t="shared" si="59"/>
        <v>0.57200000000004358</v>
      </c>
      <c r="P117">
        <f t="shared" si="60"/>
        <v>16.74900000000002</v>
      </c>
      <c r="Q117">
        <f t="shared" si="61"/>
        <v>16.176999999999978</v>
      </c>
      <c r="R117">
        <f t="shared" si="62"/>
        <v>1.7190000000000278</v>
      </c>
      <c r="S117">
        <f t="shared" si="63"/>
        <v>2.0229999999999659</v>
      </c>
      <c r="T117">
        <f t="shared" si="64"/>
        <v>0</v>
      </c>
      <c r="U117">
        <f t="shared" si="65"/>
        <v>6.9150000000000322E-2</v>
      </c>
      <c r="V117">
        <f t="shared" si="51"/>
        <v>0</v>
      </c>
      <c r="W117">
        <f t="shared" si="52"/>
        <v>0</v>
      </c>
      <c r="X117">
        <f t="shared" si="66"/>
        <v>0</v>
      </c>
      <c r="Y117">
        <f t="shared" si="58"/>
        <v>-0.69887834339948318</v>
      </c>
      <c r="Z117">
        <f t="shared" si="53"/>
        <v>0</v>
      </c>
      <c r="AA117">
        <f t="shared" si="54"/>
        <v>-0.19887834339948318</v>
      </c>
      <c r="AB117">
        <f t="shared" si="55"/>
        <v>4.0084354629023308E-2</v>
      </c>
      <c r="AC117">
        <f t="shared" si="56"/>
        <v>0</v>
      </c>
      <c r="AD117">
        <f t="shared" si="57"/>
        <v>0</v>
      </c>
    </row>
    <row r="118" spans="1:30" x14ac:dyDescent="0.3">
      <c r="A118" s="1">
        <v>117</v>
      </c>
      <c r="B118" s="1">
        <v>20</v>
      </c>
      <c r="C118" s="1">
        <v>10</v>
      </c>
      <c r="D118" s="1">
        <f t="shared" si="49"/>
        <v>29.799999999999997</v>
      </c>
      <c r="E118" s="1">
        <f t="shared" si="37"/>
        <v>0</v>
      </c>
      <c r="F118" s="1">
        <f t="shared" si="50"/>
        <v>296.09999999999997</v>
      </c>
      <c r="G118" s="1">
        <f t="shared" si="39"/>
        <v>0</v>
      </c>
      <c r="H118" s="1">
        <v>9.9429999999999996</v>
      </c>
      <c r="I118" s="1">
        <v>0.34770000000000001</v>
      </c>
      <c r="M118" s="1">
        <v>4.7699999999999996</v>
      </c>
      <c r="N118" s="1">
        <f t="shared" si="40"/>
        <v>1.6585289999999999</v>
      </c>
      <c r="O118">
        <f t="shared" si="59"/>
        <v>0.62900000000004397</v>
      </c>
      <c r="P118">
        <f t="shared" si="60"/>
        <v>16.806000000000019</v>
      </c>
      <c r="Q118">
        <f t="shared" si="61"/>
        <v>16.176999999999978</v>
      </c>
      <c r="R118">
        <f t="shared" si="62"/>
        <v>1.7760000000000282</v>
      </c>
      <c r="S118">
        <f t="shared" si="63"/>
        <v>1.9659999999999656</v>
      </c>
      <c r="T118">
        <f t="shared" si="64"/>
        <v>0</v>
      </c>
      <c r="U118">
        <f t="shared" si="65"/>
        <v>0</v>
      </c>
      <c r="V118">
        <f t="shared" si="51"/>
        <v>0</v>
      </c>
      <c r="W118">
        <f t="shared" si="52"/>
        <v>0</v>
      </c>
      <c r="X118">
        <f t="shared" si="66"/>
        <v>0</v>
      </c>
      <c r="Y118">
        <f t="shared" si="58"/>
        <v>0.16393442622950929</v>
      </c>
      <c r="Z118">
        <f t="shared" si="53"/>
        <v>0</v>
      </c>
      <c r="AA118">
        <f t="shared" si="54"/>
        <v>0</v>
      </c>
      <c r="AB118">
        <f t="shared" si="55"/>
        <v>-1.1951628507465348</v>
      </c>
      <c r="AC118">
        <f t="shared" si="56"/>
        <v>0</v>
      </c>
      <c r="AD118">
        <f t="shared" si="57"/>
        <v>-0.69516285074653483</v>
      </c>
    </row>
    <row r="119" spans="1:30" x14ac:dyDescent="0.3">
      <c r="A119" s="1">
        <v>118</v>
      </c>
      <c r="B119" s="1">
        <v>20</v>
      </c>
      <c r="C119" s="1">
        <v>9.8000000000000007</v>
      </c>
      <c r="D119" s="1">
        <f t="shared" si="49"/>
        <v>39.599999999999994</v>
      </c>
      <c r="E119" s="1">
        <f t="shared" si="37"/>
        <v>0</v>
      </c>
      <c r="F119" s="1">
        <f t="shared" si="50"/>
        <v>392.14</v>
      </c>
      <c r="G119" s="1">
        <f t="shared" si="39"/>
        <v>0</v>
      </c>
      <c r="H119" s="1">
        <v>9.9429999999999996</v>
      </c>
      <c r="I119" s="1">
        <v>0.34770000000000001</v>
      </c>
      <c r="M119" s="1">
        <v>4.7699999999999996</v>
      </c>
      <c r="N119" s="1">
        <f t="shared" si="40"/>
        <v>1.6585289999999999</v>
      </c>
      <c r="O119">
        <f t="shared" si="59"/>
        <v>0.48600000000004506</v>
      </c>
      <c r="P119">
        <f t="shared" si="60"/>
        <v>16.806000000000019</v>
      </c>
      <c r="Q119">
        <f t="shared" si="61"/>
        <v>16.319999999999979</v>
      </c>
      <c r="R119">
        <f t="shared" si="62"/>
        <v>1.6330000000000293</v>
      </c>
      <c r="S119">
        <f t="shared" si="63"/>
        <v>2.1089999999999645</v>
      </c>
      <c r="T119">
        <f t="shared" si="64"/>
        <v>0</v>
      </c>
      <c r="U119">
        <f t="shared" si="65"/>
        <v>0</v>
      </c>
      <c r="V119">
        <f t="shared" si="51"/>
        <v>0</v>
      </c>
      <c r="W119">
        <f t="shared" si="52"/>
        <v>0</v>
      </c>
      <c r="X119">
        <f t="shared" si="66"/>
        <v>0</v>
      </c>
      <c r="Y119">
        <f t="shared" si="58"/>
        <v>-0.41127408685648231</v>
      </c>
      <c r="Z119">
        <f t="shared" si="53"/>
        <v>0</v>
      </c>
      <c r="AA119">
        <f t="shared" si="54"/>
        <v>0</v>
      </c>
      <c r="AB119">
        <f t="shared" si="55"/>
        <v>-0.51774628449102322</v>
      </c>
      <c r="AC119">
        <f t="shared" si="56"/>
        <v>0</v>
      </c>
      <c r="AD119">
        <f t="shared" si="57"/>
        <v>0</v>
      </c>
    </row>
    <row r="120" spans="1:30" x14ac:dyDescent="0.3">
      <c r="A120" s="1">
        <v>119</v>
      </c>
      <c r="B120" s="1">
        <v>20</v>
      </c>
      <c r="C120" s="1">
        <v>9.8000000000000007</v>
      </c>
      <c r="D120" s="1">
        <f t="shared" si="49"/>
        <v>49.399999999999991</v>
      </c>
      <c r="E120" s="1">
        <f t="shared" si="37"/>
        <v>0</v>
      </c>
      <c r="F120" s="1">
        <f t="shared" si="50"/>
        <v>488.18</v>
      </c>
      <c r="G120" s="1">
        <f t="shared" si="39"/>
        <v>0</v>
      </c>
      <c r="H120" s="1">
        <v>9.9429999999999996</v>
      </c>
      <c r="I120" s="1">
        <v>0.34770000000000001</v>
      </c>
      <c r="M120" s="1">
        <v>4.7699999999999996</v>
      </c>
      <c r="N120" s="1">
        <f t="shared" si="40"/>
        <v>1.6585289999999999</v>
      </c>
      <c r="O120">
        <f t="shared" si="59"/>
        <v>0.34300000000004616</v>
      </c>
      <c r="P120">
        <f t="shared" si="60"/>
        <v>16.806000000000019</v>
      </c>
      <c r="Q120">
        <f t="shared" si="61"/>
        <v>16.46299999999998</v>
      </c>
      <c r="R120">
        <f t="shared" si="62"/>
        <v>1.4900000000000304</v>
      </c>
      <c r="S120">
        <f t="shared" si="63"/>
        <v>2.2519999999999634</v>
      </c>
      <c r="T120">
        <f t="shared" si="64"/>
        <v>0</v>
      </c>
      <c r="U120">
        <f t="shared" si="65"/>
        <v>0</v>
      </c>
      <c r="V120">
        <f t="shared" si="51"/>
        <v>0</v>
      </c>
      <c r="W120">
        <f t="shared" si="52"/>
        <v>0</v>
      </c>
      <c r="X120">
        <f t="shared" si="66"/>
        <v>0</v>
      </c>
      <c r="Y120">
        <f t="shared" si="58"/>
        <v>-0.41127408685648231</v>
      </c>
      <c r="Z120">
        <f t="shared" si="53"/>
        <v>0</v>
      </c>
      <c r="AA120">
        <f t="shared" si="54"/>
        <v>0</v>
      </c>
      <c r="AB120">
        <f t="shared" si="55"/>
        <v>-0.51774628449102322</v>
      </c>
      <c r="AC120">
        <f t="shared" si="56"/>
        <v>0</v>
      </c>
      <c r="AD120">
        <f t="shared" si="57"/>
        <v>-1.7746284491023223E-2</v>
      </c>
    </row>
    <row r="121" spans="1:30" x14ac:dyDescent="0.3">
      <c r="A121" s="1">
        <v>120</v>
      </c>
      <c r="B121" s="1">
        <v>20</v>
      </c>
      <c r="C121" s="1">
        <v>9.6</v>
      </c>
      <c r="D121" s="1">
        <f t="shared" si="49"/>
        <v>58.999999999999993</v>
      </c>
      <c r="E121" s="1">
        <f t="shared" si="37"/>
        <v>9.8333333333333321</v>
      </c>
      <c r="F121" s="1">
        <f t="shared" si="50"/>
        <v>580.34</v>
      </c>
      <c r="G121" s="1">
        <f t="shared" si="39"/>
        <v>3.4666666666703351E-2</v>
      </c>
      <c r="H121" s="1">
        <v>9.9429999999999996</v>
      </c>
      <c r="I121" s="1">
        <v>0.34770000000000001</v>
      </c>
      <c r="M121" s="1">
        <v>4.7699999999999996</v>
      </c>
      <c r="N121" s="1">
        <f t="shared" si="40"/>
        <v>1.6585289999999999</v>
      </c>
      <c r="O121">
        <f t="shared" si="59"/>
        <v>4.6185277824406512E-14</v>
      </c>
      <c r="P121">
        <f t="shared" si="60"/>
        <v>16.806000000000019</v>
      </c>
      <c r="Q121">
        <f t="shared" si="61"/>
        <v>16.80599999999998</v>
      </c>
      <c r="R121">
        <f t="shared" si="62"/>
        <v>1.1470000000000304</v>
      </c>
      <c r="S121">
        <f t="shared" si="63"/>
        <v>2.5949999999999633</v>
      </c>
      <c r="T121">
        <f t="shared" si="64"/>
        <v>0</v>
      </c>
      <c r="U121">
        <f t="shared" si="65"/>
        <v>0.16914999999999997</v>
      </c>
      <c r="V121">
        <f t="shared" si="51"/>
        <v>0</v>
      </c>
      <c r="W121">
        <f t="shared" si="52"/>
        <v>0</v>
      </c>
      <c r="X121">
        <f t="shared" si="66"/>
        <v>0</v>
      </c>
      <c r="Y121">
        <f t="shared" si="58"/>
        <v>-0.986482599942479</v>
      </c>
      <c r="Z121">
        <f t="shared" si="53"/>
        <v>0</v>
      </c>
      <c r="AA121">
        <f t="shared" si="54"/>
        <v>-0.486482599942479</v>
      </c>
      <c r="AB121">
        <f t="shared" si="55"/>
        <v>0.49059686038043321</v>
      </c>
      <c r="AC121">
        <f t="shared" si="56"/>
        <v>0</v>
      </c>
      <c r="AD121">
        <f t="shared" si="57"/>
        <v>0</v>
      </c>
    </row>
    <row r="125" spans="1:30" x14ac:dyDescent="0.3">
      <c r="A125" t="s">
        <v>32</v>
      </c>
      <c r="B125">
        <v>6</v>
      </c>
      <c r="D125" t="s">
        <v>5</v>
      </c>
      <c r="E125" t="s">
        <v>30</v>
      </c>
      <c r="H125" t="s">
        <v>17</v>
      </c>
      <c r="I125" t="s">
        <v>18</v>
      </c>
      <c r="J125" t="s">
        <v>16</v>
      </c>
    </row>
    <row r="126" spans="1:30" x14ac:dyDescent="0.3">
      <c r="A126" t="s">
        <v>14</v>
      </c>
      <c r="B126">
        <f>L2/SQRT(B125)</f>
        <v>7.0973965297142588E-2</v>
      </c>
      <c r="D126">
        <v>1</v>
      </c>
      <c r="E126">
        <f>$E$7</f>
        <v>10.033333333333333</v>
      </c>
      <c r="H126">
        <f>MAX(0,E126-$B$128-$B$126)</f>
        <v>1.935936803619101E-2</v>
      </c>
      <c r="I126">
        <f>-MAX(0,$B$128-E126-$B$126)</f>
        <v>0</v>
      </c>
      <c r="J126">
        <f>$B$127</f>
        <v>0.67709162893474029</v>
      </c>
    </row>
    <row r="127" spans="1:30" x14ac:dyDescent="0.3">
      <c r="A127" t="s">
        <v>16</v>
      </c>
      <c r="B127">
        <f>N2/SQRT(B125)</f>
        <v>0.67709162893474029</v>
      </c>
      <c r="D127">
        <v>2</v>
      </c>
      <c r="E127">
        <f>$E$13</f>
        <v>10</v>
      </c>
      <c r="H127">
        <f>MAX(0,E127-$B$128-$B$126+H126)</f>
        <v>5.3854027390488057E-3</v>
      </c>
      <c r="I127">
        <f>-MAX(0,$B$128-E127-$B$126+I126)</f>
        <v>0</v>
      </c>
      <c r="J127">
        <f t="shared" ref="J127:J145" si="67">$B$127</f>
        <v>0.67709162893474029</v>
      </c>
    </row>
    <row r="128" spans="1:30" x14ac:dyDescent="0.3">
      <c r="A128" t="s">
        <v>31</v>
      </c>
      <c r="B128">
        <f>H2</f>
        <v>9.9429999999999996</v>
      </c>
      <c r="D128">
        <v>3</v>
      </c>
      <c r="E128">
        <f>$E$19</f>
        <v>9.9166666666666661</v>
      </c>
      <c r="H128">
        <f t="shared" ref="H128:H145" si="68">MAX(0,E128-$B$128-$B$126+H127)</f>
        <v>0</v>
      </c>
      <c r="I128">
        <f t="shared" ref="I128:I145" si="69">-MAX(0,$B$128-E128-$B$126+I127)</f>
        <v>0</v>
      </c>
      <c r="J128">
        <f t="shared" si="67"/>
        <v>0.67709162893474029</v>
      </c>
    </row>
    <row r="129" spans="1:10" x14ac:dyDescent="0.3">
      <c r="A129" t="s">
        <v>37</v>
      </c>
      <c r="B129">
        <f>I2</f>
        <v>0.34770000000000001</v>
      </c>
      <c r="D129">
        <v>4</v>
      </c>
      <c r="E129">
        <f>$E$25</f>
        <v>10.083333333333334</v>
      </c>
      <c r="H129">
        <f t="shared" si="68"/>
        <v>6.9359368036191721E-2</v>
      </c>
      <c r="I129">
        <f t="shared" si="69"/>
        <v>0</v>
      </c>
      <c r="J129">
        <f t="shared" si="67"/>
        <v>0.67709162893474029</v>
      </c>
    </row>
    <row r="130" spans="1:10" x14ac:dyDescent="0.3">
      <c r="D130">
        <v>5</v>
      </c>
      <c r="E130">
        <f>$E$31</f>
        <v>10.066666666666666</v>
      </c>
      <c r="H130">
        <f t="shared" si="68"/>
        <v>0.12205206940571595</v>
      </c>
      <c r="I130">
        <f t="shared" si="69"/>
        <v>0</v>
      </c>
      <c r="J130">
        <f t="shared" si="67"/>
        <v>0.67709162893474029</v>
      </c>
    </row>
    <row r="131" spans="1:10" x14ac:dyDescent="0.3">
      <c r="D131">
        <v>6</v>
      </c>
      <c r="E131">
        <f>$E$37</f>
        <v>9.8166666666666664</v>
      </c>
      <c r="H131">
        <f t="shared" si="68"/>
        <v>0</v>
      </c>
      <c r="I131">
        <f t="shared" si="69"/>
        <v>-5.5359368036190598E-2</v>
      </c>
      <c r="J131">
        <f t="shared" si="67"/>
        <v>0.67709162893474029</v>
      </c>
    </row>
    <row r="132" spans="1:10" x14ac:dyDescent="0.3">
      <c r="D132">
        <v>7</v>
      </c>
      <c r="E132">
        <f>$E$43</f>
        <v>9.7766666666666655</v>
      </c>
      <c r="H132">
        <f t="shared" si="68"/>
        <v>0</v>
      </c>
      <c r="I132">
        <f t="shared" si="69"/>
        <v>-4.0000000000000924E-2</v>
      </c>
      <c r="J132">
        <f t="shared" si="67"/>
        <v>0.67709162893474029</v>
      </c>
    </row>
    <row r="133" spans="1:10" x14ac:dyDescent="0.3">
      <c r="D133">
        <v>8</v>
      </c>
      <c r="E133">
        <f>$E$49</f>
        <v>9.7000000000000011</v>
      </c>
      <c r="H133">
        <f t="shared" si="68"/>
        <v>0</v>
      </c>
      <c r="I133">
        <f t="shared" si="69"/>
        <v>-0.13202603470285504</v>
      </c>
      <c r="J133">
        <f t="shared" si="67"/>
        <v>0.67709162893474029</v>
      </c>
    </row>
    <row r="134" spans="1:10" x14ac:dyDescent="0.3">
      <c r="D134">
        <v>9</v>
      </c>
      <c r="E134">
        <f>$E$55</f>
        <v>10.200000000000001</v>
      </c>
      <c r="H134">
        <f t="shared" si="68"/>
        <v>0.18602603470285886</v>
      </c>
      <c r="I134">
        <f t="shared" si="69"/>
        <v>0</v>
      </c>
      <c r="J134">
        <f t="shared" si="67"/>
        <v>0.67709162893474029</v>
      </c>
    </row>
    <row r="135" spans="1:10" x14ac:dyDescent="0.3">
      <c r="D135">
        <v>10</v>
      </c>
      <c r="E135">
        <f>$E$61</f>
        <v>10</v>
      </c>
      <c r="H135">
        <f t="shared" si="68"/>
        <v>0.17205206940571666</v>
      </c>
      <c r="I135">
        <f t="shared" si="69"/>
        <v>0</v>
      </c>
      <c r="J135">
        <f t="shared" si="67"/>
        <v>0.67709162893474029</v>
      </c>
    </row>
    <row r="136" spans="1:10" x14ac:dyDescent="0.3">
      <c r="D136">
        <v>11</v>
      </c>
      <c r="E136">
        <f>$E$67</f>
        <v>10</v>
      </c>
      <c r="H136">
        <f t="shared" si="68"/>
        <v>0.15807810410857445</v>
      </c>
      <c r="I136">
        <f t="shared" si="69"/>
        <v>0</v>
      </c>
      <c r="J136">
        <f t="shared" si="67"/>
        <v>0.67709162893474029</v>
      </c>
    </row>
    <row r="137" spans="1:10" x14ac:dyDescent="0.3">
      <c r="D137">
        <v>12</v>
      </c>
      <c r="E137">
        <f>$E$73</f>
        <v>9.8666666666666671</v>
      </c>
      <c r="H137">
        <f t="shared" si="68"/>
        <v>1.0770805478099388E-2</v>
      </c>
      <c r="I137">
        <f t="shared" si="69"/>
        <v>-5.3593680361898877E-3</v>
      </c>
      <c r="J137">
        <f t="shared" si="67"/>
        <v>0.67709162893474029</v>
      </c>
    </row>
    <row r="138" spans="1:10" x14ac:dyDescent="0.3">
      <c r="D138">
        <v>13</v>
      </c>
      <c r="E138">
        <f>$E$79</f>
        <v>9.9166666666666661</v>
      </c>
      <c r="H138">
        <f t="shared" si="68"/>
        <v>0</v>
      </c>
      <c r="I138">
        <f t="shared" si="69"/>
        <v>0</v>
      </c>
      <c r="J138">
        <f t="shared" si="67"/>
        <v>0.67709162893474029</v>
      </c>
    </row>
    <row r="139" spans="1:10" x14ac:dyDescent="0.3">
      <c r="D139">
        <v>14</v>
      </c>
      <c r="E139">
        <f>$E$85</f>
        <v>9.8833333333333329</v>
      </c>
      <c r="H139">
        <f t="shared" si="68"/>
        <v>0</v>
      </c>
      <c r="I139">
        <f t="shared" si="69"/>
        <v>0</v>
      </c>
      <c r="J139">
        <f t="shared" si="67"/>
        <v>0.67709162893474029</v>
      </c>
    </row>
    <row r="140" spans="1:10" x14ac:dyDescent="0.3">
      <c r="D140">
        <v>15</v>
      </c>
      <c r="E140">
        <f>$E$91</f>
        <v>9.75</v>
      </c>
      <c r="H140">
        <f t="shared" si="68"/>
        <v>0</v>
      </c>
      <c r="I140">
        <f t="shared" si="69"/>
        <v>-0.12202603470285703</v>
      </c>
      <c r="J140">
        <f t="shared" si="67"/>
        <v>0.67709162893474029</v>
      </c>
    </row>
    <row r="141" spans="1:10" x14ac:dyDescent="0.3">
      <c r="D141">
        <v>16</v>
      </c>
      <c r="E141">
        <f>$E$97</f>
        <v>10.1</v>
      </c>
      <c r="H141">
        <f t="shared" si="68"/>
        <v>8.602603470285744E-2</v>
      </c>
      <c r="I141">
        <f t="shared" si="69"/>
        <v>0</v>
      </c>
      <c r="J141">
        <f t="shared" si="67"/>
        <v>0.67709162893474029</v>
      </c>
    </row>
    <row r="142" spans="1:10" x14ac:dyDescent="0.3">
      <c r="D142">
        <v>17</v>
      </c>
      <c r="E142">
        <f>$E$103</f>
        <v>9.9333333333333318</v>
      </c>
      <c r="H142">
        <f t="shared" si="68"/>
        <v>5.3854027390470294E-3</v>
      </c>
      <c r="I142">
        <f t="shared" si="69"/>
        <v>0</v>
      </c>
      <c r="J142">
        <f t="shared" si="67"/>
        <v>0.67709162893474029</v>
      </c>
    </row>
    <row r="143" spans="1:10" x14ac:dyDescent="0.3">
      <c r="D143">
        <v>18</v>
      </c>
      <c r="E143">
        <f>$E$109</f>
        <v>9.8833333333333329</v>
      </c>
      <c r="H143">
        <f t="shared" si="68"/>
        <v>0</v>
      </c>
      <c r="I143">
        <f t="shared" si="69"/>
        <v>0</v>
      </c>
      <c r="J143">
        <f t="shared" si="67"/>
        <v>0.67709162893474029</v>
      </c>
    </row>
    <row r="144" spans="1:10" x14ac:dyDescent="0.3">
      <c r="D144">
        <v>19</v>
      </c>
      <c r="E144">
        <f>$E$115</f>
        <v>10.1</v>
      </c>
      <c r="H144">
        <f t="shared" si="68"/>
        <v>8.602603470285744E-2</v>
      </c>
      <c r="I144">
        <f t="shared" si="69"/>
        <v>0</v>
      </c>
      <c r="J144">
        <f t="shared" si="67"/>
        <v>0.67709162893474029</v>
      </c>
    </row>
    <row r="145" spans="4:10" x14ac:dyDescent="0.3">
      <c r="D145">
        <v>20</v>
      </c>
      <c r="E145">
        <f>$E$121</f>
        <v>9.8333333333333321</v>
      </c>
      <c r="H145">
        <f t="shared" si="68"/>
        <v>0</v>
      </c>
      <c r="I145">
        <f t="shared" si="69"/>
        <v>-3.8692701369524879E-2</v>
      </c>
      <c r="J145">
        <f t="shared" si="67"/>
        <v>0.67709162893474029</v>
      </c>
    </row>
  </sheetData>
  <autoFilter ref="G1:G145" xr:uid="{380349A0-F90E-47AA-A546-5466EA1B3167}"/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n=1</vt:lpstr>
      <vt:lpstr>n=6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Abela</dc:creator>
  <cp:lastModifiedBy>Kylie Abela</cp:lastModifiedBy>
  <dcterms:created xsi:type="dcterms:W3CDTF">2023-04-12T14:22:36Z</dcterms:created>
  <dcterms:modified xsi:type="dcterms:W3CDTF">2023-04-14T19:45:36Z</dcterms:modified>
</cp:coreProperties>
</file>