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ylie\Downloads\"/>
    </mc:Choice>
  </mc:AlternateContent>
  <xr:revisionPtr revIDLastSave="0" documentId="13_ncr:1_{BBC0A273-E700-45B3-8B91-9BBDEBA0E7AE}" xr6:coauthVersionLast="47" xr6:coauthVersionMax="47" xr10:uidLastSave="{00000000-0000-0000-0000-000000000000}"/>
  <bookViews>
    <workbookView xWindow="-108" yWindow="-108" windowWidth="23256" windowHeight="13896" activeTab="2" xr2:uid="{949812F9-E807-440C-85EF-2BFF8C013186}"/>
  </bookViews>
  <sheets>
    <sheet name="Raw Data" sheetId="1" r:id="rId1"/>
    <sheet name="n=1" sheetId="2" r:id="rId2"/>
    <sheet name="n&gt;1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7" i="2" l="1"/>
  <c r="I5" i="2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" i="3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" i="3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" i="3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" i="3"/>
  <c r="D21" i="3"/>
  <c r="D20" i="3"/>
  <c r="D19" i="3"/>
  <c r="D18" i="3"/>
  <c r="D17" i="3"/>
  <c r="D16" i="3"/>
  <c r="D15" i="3"/>
  <c r="D14" i="3"/>
  <c r="D13" i="3"/>
  <c r="D12" i="3"/>
  <c r="D11" i="3"/>
  <c r="D10" i="3"/>
  <c r="P9" i="3"/>
  <c r="D9" i="3"/>
  <c r="P8" i="3"/>
  <c r="D8" i="3"/>
  <c r="D7" i="3"/>
  <c r="D6" i="3"/>
  <c r="D5" i="3"/>
  <c r="D4" i="3"/>
  <c r="D3" i="3"/>
  <c r="D2" i="3"/>
  <c r="I4" i="2"/>
  <c r="I6" i="2"/>
  <c r="I15" i="2"/>
  <c r="I19" i="2"/>
  <c r="I20" i="2"/>
  <c r="I21" i="2"/>
  <c r="I2" i="2"/>
  <c r="G2" i="2"/>
  <c r="H2" i="2" s="1"/>
  <c r="P6" i="2"/>
  <c r="D3" i="2"/>
  <c r="F3" i="2" s="1"/>
  <c r="D4" i="2"/>
  <c r="F4" i="2" s="1"/>
  <c r="D5" i="2"/>
  <c r="F5" i="2" s="1"/>
  <c r="D6" i="2"/>
  <c r="F6" i="2" s="1"/>
  <c r="D7" i="2"/>
  <c r="F7" i="2" s="1"/>
  <c r="D8" i="2"/>
  <c r="F8" i="2" s="1"/>
  <c r="D9" i="2"/>
  <c r="D10" i="2"/>
  <c r="E10" i="2" s="1"/>
  <c r="D11" i="2"/>
  <c r="F11" i="2" s="1"/>
  <c r="D12" i="2"/>
  <c r="F12" i="2" s="1"/>
  <c r="D13" i="2"/>
  <c r="F13" i="2" s="1"/>
  <c r="D14" i="2"/>
  <c r="F14" i="2" s="1"/>
  <c r="D15" i="2"/>
  <c r="F15" i="2" s="1"/>
  <c r="D16" i="2"/>
  <c r="F16" i="2" s="1"/>
  <c r="D17" i="2"/>
  <c r="F17" i="2" s="1"/>
  <c r="D18" i="2"/>
  <c r="F18" i="2" s="1"/>
  <c r="D19" i="2"/>
  <c r="F19" i="2" s="1"/>
  <c r="D20" i="2"/>
  <c r="F20" i="2" s="1"/>
  <c r="D21" i="2"/>
  <c r="F21" i="2" s="1"/>
  <c r="D2" i="2"/>
  <c r="E2" i="2" s="1"/>
  <c r="C2" i="2"/>
  <c r="C3" i="2" s="1"/>
  <c r="C4" i="2" s="1"/>
  <c r="C5" i="2" s="1"/>
  <c r="C6" i="2" s="1"/>
  <c r="C7" i="2" s="1"/>
  <c r="C8" i="2" s="1"/>
  <c r="C9" i="2" s="1"/>
  <c r="C10" i="2" s="1"/>
  <c r="C11" i="2" s="1"/>
  <c r="C12" i="2" s="1"/>
  <c r="C13" i="2" s="1"/>
  <c r="C14" i="2" s="1"/>
  <c r="C15" i="2" s="1"/>
  <c r="C16" i="2" s="1"/>
  <c r="C17" i="2" s="1"/>
  <c r="C18" i="2" s="1"/>
  <c r="C19" i="2" s="1"/>
  <c r="C20" i="2" s="1"/>
  <c r="C21" i="2" s="1"/>
  <c r="I3" i="2" l="1"/>
  <c r="I18" i="2"/>
  <c r="I17" i="2"/>
  <c r="F9" i="2"/>
  <c r="I16" i="2"/>
  <c r="I14" i="2"/>
  <c r="I13" i="2"/>
  <c r="I12" i="2"/>
  <c r="I11" i="2"/>
  <c r="I10" i="2"/>
  <c r="I9" i="2"/>
  <c r="I8" i="2"/>
  <c r="I7" i="2"/>
  <c r="J15" i="2"/>
  <c r="J14" i="2"/>
  <c r="J13" i="2"/>
  <c r="J11" i="2"/>
  <c r="K18" i="2"/>
  <c r="K21" i="2"/>
  <c r="J18" i="2"/>
  <c r="K20" i="2"/>
  <c r="J17" i="2"/>
  <c r="K17" i="2"/>
  <c r="J12" i="2"/>
  <c r="K19" i="2"/>
  <c r="J9" i="2"/>
  <c r="K16" i="2"/>
  <c r="J8" i="2"/>
  <c r="K10" i="2"/>
  <c r="K2" i="2"/>
  <c r="K9" i="2"/>
  <c r="K7" i="2"/>
  <c r="K6" i="2"/>
  <c r="K5" i="2"/>
  <c r="K4" i="2"/>
  <c r="K3" i="2"/>
  <c r="J7" i="2"/>
  <c r="K15" i="2"/>
  <c r="E18" i="2"/>
  <c r="J6" i="2"/>
  <c r="K14" i="2"/>
  <c r="J21" i="2"/>
  <c r="J5" i="2"/>
  <c r="K13" i="2"/>
  <c r="J20" i="2"/>
  <c r="J4" i="2"/>
  <c r="K12" i="2"/>
  <c r="J19" i="2"/>
  <c r="J3" i="2"/>
  <c r="K11" i="2"/>
  <c r="J16" i="2"/>
  <c r="K8" i="2"/>
  <c r="J2" i="2"/>
  <c r="J10" i="2"/>
  <c r="G3" i="2"/>
  <c r="G4" i="2" s="1"/>
  <c r="G5" i="2" s="1"/>
  <c r="G6" i="2" s="1"/>
  <c r="G7" i="2" s="1"/>
  <c r="G8" i="2" s="1"/>
  <c r="G9" i="2" s="1"/>
  <c r="G10" i="2" s="1"/>
  <c r="G11" i="2" s="1"/>
  <c r="G12" i="2" s="1"/>
  <c r="G13" i="2" s="1"/>
  <c r="G14" i="2" s="1"/>
  <c r="G15" i="2" s="1"/>
  <c r="G16" i="2" s="1"/>
  <c r="G17" i="2" s="1"/>
  <c r="G18" i="2" s="1"/>
  <c r="G19" i="2" s="1"/>
  <c r="G20" i="2" s="1"/>
  <c r="G21" i="2" s="1"/>
  <c r="E9" i="2"/>
  <c r="E16" i="2"/>
  <c r="E12" i="2"/>
  <c r="E11" i="2"/>
  <c r="E15" i="2"/>
  <c r="E14" i="2"/>
  <c r="E13" i="2"/>
  <c r="E8" i="2"/>
  <c r="E7" i="2"/>
  <c r="E6" i="2"/>
  <c r="E21" i="2"/>
  <c r="E5" i="2"/>
  <c r="E20" i="2"/>
  <c r="E4" i="2"/>
  <c r="E19" i="2"/>
  <c r="E3" i="2"/>
  <c r="F10" i="2"/>
  <c r="F2" i="2"/>
  <c r="E17" i="2"/>
  <c r="C2" i="3" l="1"/>
  <c r="C3" i="3" s="1"/>
  <c r="C4" i="3" s="1"/>
  <c r="C5" i="3" s="1"/>
  <c r="C6" i="3" s="1"/>
  <c r="C7" i="3" s="1"/>
  <c r="C8" i="3" s="1"/>
  <c r="C9" i="3" s="1"/>
  <c r="C10" i="3" s="1"/>
  <c r="C11" i="3" s="1"/>
  <c r="C12" i="3" s="1"/>
  <c r="C13" i="3" s="1"/>
  <c r="C14" i="3" s="1"/>
  <c r="C15" i="3" s="1"/>
  <c r="C16" i="3" s="1"/>
  <c r="C17" i="3" s="1"/>
  <c r="C18" i="3" s="1"/>
  <c r="C19" i="3" s="1"/>
  <c r="C20" i="3" s="1"/>
  <c r="C21" i="3" s="1"/>
  <c r="H3" i="2"/>
  <c r="H2" i="3" l="1"/>
  <c r="H4" i="2"/>
  <c r="H3" i="3" l="1"/>
  <c r="H5" i="2"/>
  <c r="H4" i="3" l="1"/>
  <c r="H6" i="2"/>
  <c r="H5" i="3" l="1"/>
  <c r="H7" i="2"/>
  <c r="H6" i="3" l="1"/>
  <c r="H8" i="2"/>
  <c r="H7" i="3" l="1"/>
  <c r="H9" i="2"/>
  <c r="H8" i="3" l="1"/>
  <c r="H10" i="2"/>
  <c r="H9" i="3" l="1"/>
  <c r="H11" i="2"/>
  <c r="H10" i="3" l="1"/>
  <c r="H12" i="2"/>
  <c r="H11" i="3" l="1"/>
  <c r="H13" i="2"/>
  <c r="H12" i="3" l="1"/>
  <c r="H14" i="2"/>
  <c r="H13" i="3" l="1"/>
  <c r="H15" i="2"/>
  <c r="H14" i="3" l="1"/>
  <c r="H16" i="2"/>
  <c r="H15" i="3" l="1"/>
  <c r="H17" i="2"/>
  <c r="H16" i="3" l="1"/>
  <c r="H18" i="2"/>
  <c r="H17" i="3" l="1"/>
  <c r="H19" i="2"/>
  <c r="H18" i="3" l="1"/>
  <c r="H20" i="2"/>
  <c r="H19" i="3" l="1"/>
  <c r="H21" i="2"/>
  <c r="H20" i="3" l="1"/>
  <c r="H21" i="3"/>
</calcChain>
</file>

<file path=xl/sharedStrings.xml><?xml version="1.0" encoding="utf-8"?>
<sst xmlns="http://schemas.openxmlformats.org/spreadsheetml/2006/main" count="41" uniqueCount="21">
  <si>
    <t>Observation</t>
  </si>
  <si>
    <t>Sample</t>
  </si>
  <si>
    <t>Length of Pretzel (cm)</t>
  </si>
  <si>
    <t>sample</t>
  </si>
  <si>
    <t>xi</t>
  </si>
  <si>
    <t>n</t>
  </si>
  <si>
    <t>K</t>
  </si>
  <si>
    <t>H</t>
  </si>
  <si>
    <t>mu0</t>
  </si>
  <si>
    <t>sigma0</t>
  </si>
  <si>
    <t>L</t>
  </si>
  <si>
    <t>lambda</t>
  </si>
  <si>
    <t>mean</t>
  </si>
  <si>
    <t>zi</t>
  </si>
  <si>
    <t>CL</t>
  </si>
  <si>
    <t>UCL</t>
  </si>
  <si>
    <t>LCL</t>
  </si>
  <si>
    <t>nu</t>
  </si>
  <si>
    <t>alpha</t>
  </si>
  <si>
    <t>Si2</t>
  </si>
  <si>
    <t>Sqrt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</si>
</sst>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EWMA for Shifted Variability (n=1)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'n=1'!$H$1</c:f>
              <c:strCache>
                <c:ptCount val="1"/>
                <c:pt idx="0">
                  <c:v>Sqrt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'n=1'!$A$2:$A$21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cat>
          <c:val>
            <c:numRef>
              <c:f>'n=1'!$H$2:$H$21</c:f>
              <c:numCache>
                <c:formatCode>General</c:formatCode>
                <c:ptCount val="20"/>
                <c:pt idx="0">
                  <c:v>0.2999120485110684</c:v>
                </c:pt>
                <c:pt idx="1">
                  <c:v>0.32627444453694926</c:v>
                </c:pt>
                <c:pt idx="2">
                  <c:v>0.31130694152573163</c:v>
                </c:pt>
                <c:pt idx="3">
                  <c:v>0.29719237987858088</c:v>
                </c:pt>
                <c:pt idx="4">
                  <c:v>0.28353743948922383</c:v>
                </c:pt>
                <c:pt idx="5">
                  <c:v>0.28470446366872237</c:v>
                </c:pt>
                <c:pt idx="6">
                  <c:v>0.31377295688061657</c:v>
                </c:pt>
                <c:pt idx="7">
                  <c:v>0.30399115385590542</c:v>
                </c:pt>
                <c:pt idx="8">
                  <c:v>0.30310404065333801</c:v>
                </c:pt>
                <c:pt idx="9">
                  <c:v>0.30230341300478636</c:v>
                </c:pt>
                <c:pt idx="10">
                  <c:v>0.28679455741507404</c:v>
                </c:pt>
                <c:pt idx="11">
                  <c:v>0.28762563576047512</c:v>
                </c:pt>
                <c:pt idx="12">
                  <c:v>0.30009691053384047</c:v>
                </c:pt>
                <c:pt idx="13">
                  <c:v>0.29198431488824911</c:v>
                </c:pt>
                <c:pt idx="14">
                  <c:v>0.28448524764332528</c:v>
                </c:pt>
                <c:pt idx="15">
                  <c:v>0.28660280967571777</c:v>
                </c:pt>
                <c:pt idx="16">
                  <c:v>0.27391523043199717</c:v>
                </c:pt>
                <c:pt idx="17">
                  <c:v>0.27718062363078821</c:v>
                </c:pt>
                <c:pt idx="18">
                  <c:v>0.27009014847772106</c:v>
                </c:pt>
                <c:pt idx="19">
                  <c:v>0.25837244333373799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90E-404D-B4DE-2716160A6610}"/>
            </c:ext>
          </c:extLst>
        </c:ser>
        <c:ser>
          <c:idx val="1"/>
          <c:order val="1"/>
          <c:tx>
            <c:strRef>
              <c:f>'n=1'!$I$1</c:f>
              <c:strCache>
                <c:ptCount val="1"/>
                <c:pt idx="0">
                  <c:v>CL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'n=1'!$A$2:$A$21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cat>
          <c:val>
            <c:numRef>
              <c:f>'n=1'!$I$2:$I$21</c:f>
              <c:numCache>
                <c:formatCode>General</c:formatCode>
                <c:ptCount val="20"/>
                <c:pt idx="0">
                  <c:v>0.28741131355236316</c:v>
                </c:pt>
                <c:pt idx="1">
                  <c:v>0.28741131355236316</c:v>
                </c:pt>
                <c:pt idx="2">
                  <c:v>0.28741131355236316</c:v>
                </c:pt>
                <c:pt idx="3">
                  <c:v>0.28741131355236316</c:v>
                </c:pt>
                <c:pt idx="4">
                  <c:v>0.28741131355236316</c:v>
                </c:pt>
                <c:pt idx="5">
                  <c:v>0.28741131355236316</c:v>
                </c:pt>
                <c:pt idx="6">
                  <c:v>0.28741131355236316</c:v>
                </c:pt>
                <c:pt idx="7">
                  <c:v>0.28741131355236316</c:v>
                </c:pt>
                <c:pt idx="8">
                  <c:v>0.28741131355236316</c:v>
                </c:pt>
                <c:pt idx="9">
                  <c:v>0.28741131355236316</c:v>
                </c:pt>
                <c:pt idx="10">
                  <c:v>0.28741131355236316</c:v>
                </c:pt>
                <c:pt idx="11">
                  <c:v>0.28741131355236316</c:v>
                </c:pt>
                <c:pt idx="12">
                  <c:v>0.28741131355236316</c:v>
                </c:pt>
                <c:pt idx="13">
                  <c:v>0.28741131355236316</c:v>
                </c:pt>
                <c:pt idx="14">
                  <c:v>0.28741131355236316</c:v>
                </c:pt>
                <c:pt idx="15">
                  <c:v>0.28741131355236316</c:v>
                </c:pt>
                <c:pt idx="16">
                  <c:v>0.28741131355236316</c:v>
                </c:pt>
                <c:pt idx="17">
                  <c:v>0.28741131355236316</c:v>
                </c:pt>
                <c:pt idx="18">
                  <c:v>0.28741131355236316</c:v>
                </c:pt>
                <c:pt idx="19">
                  <c:v>0.28741131355236316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90E-404D-B4DE-2716160A6610}"/>
            </c:ext>
          </c:extLst>
        </c:ser>
        <c:ser>
          <c:idx val="2"/>
          <c:order val="2"/>
          <c:tx>
            <c:strRef>
              <c:f>'n=1'!$J$1</c:f>
              <c:strCache>
                <c:ptCount val="1"/>
                <c:pt idx="0">
                  <c:v>UCL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'n=1'!$A$2:$A$21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cat>
          <c:val>
            <c:numRef>
              <c:f>'n=1'!$J$2:$J$21</c:f>
              <c:numCache>
                <c:formatCode>General</c:formatCode>
                <c:ptCount val="20"/>
                <c:pt idx="0">
                  <c:v>0.42412358635419883</c:v>
                </c:pt>
                <c:pt idx="1">
                  <c:v>0.42412358635419883</c:v>
                </c:pt>
                <c:pt idx="2">
                  <c:v>0.42412358635419883</c:v>
                </c:pt>
                <c:pt idx="3">
                  <c:v>0.42412358635419883</c:v>
                </c:pt>
                <c:pt idx="4">
                  <c:v>0.42412358635419883</c:v>
                </c:pt>
                <c:pt idx="5">
                  <c:v>0.42412358635419883</c:v>
                </c:pt>
                <c:pt idx="6">
                  <c:v>0.42412358635419883</c:v>
                </c:pt>
                <c:pt idx="7">
                  <c:v>0.42412358635419883</c:v>
                </c:pt>
                <c:pt idx="8">
                  <c:v>0.42412358635419883</c:v>
                </c:pt>
                <c:pt idx="9">
                  <c:v>0.42412358635419883</c:v>
                </c:pt>
                <c:pt idx="10">
                  <c:v>0.42412358635419883</c:v>
                </c:pt>
                <c:pt idx="11">
                  <c:v>0.42412358635419883</c:v>
                </c:pt>
                <c:pt idx="12">
                  <c:v>0.42412358635419883</c:v>
                </c:pt>
                <c:pt idx="13">
                  <c:v>0.42412358635419883</c:v>
                </c:pt>
                <c:pt idx="14">
                  <c:v>0.42412358635419883</c:v>
                </c:pt>
                <c:pt idx="15">
                  <c:v>0.42412358635419883</c:v>
                </c:pt>
                <c:pt idx="16">
                  <c:v>0.42412358635419883</c:v>
                </c:pt>
                <c:pt idx="17">
                  <c:v>0.42412358635419883</c:v>
                </c:pt>
                <c:pt idx="18">
                  <c:v>0.42412358635419883</c:v>
                </c:pt>
                <c:pt idx="19">
                  <c:v>0.42412358635419883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90E-404D-B4DE-2716160A6610}"/>
            </c:ext>
          </c:extLst>
        </c:ser>
        <c:ser>
          <c:idx val="3"/>
          <c:order val="3"/>
          <c:tx>
            <c:strRef>
              <c:f>'n=1'!$K$1</c:f>
              <c:strCache>
                <c:ptCount val="1"/>
                <c:pt idx="0">
                  <c:v>LCL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'n=1'!$A$2:$A$21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cat>
          <c:val>
            <c:numRef>
              <c:f>'n=1'!$K$2:$K$21</c:f>
              <c:numCache>
                <c:formatCode>General</c:formatCode>
                <c:ptCount val="20"/>
                <c:pt idx="0">
                  <c:v>0.14929621005971155</c:v>
                </c:pt>
                <c:pt idx="1">
                  <c:v>0.14929621005971155</c:v>
                </c:pt>
                <c:pt idx="2">
                  <c:v>0.14929621005971155</c:v>
                </c:pt>
                <c:pt idx="3">
                  <c:v>0.14929621005971155</c:v>
                </c:pt>
                <c:pt idx="4">
                  <c:v>0.14929621005971155</c:v>
                </c:pt>
                <c:pt idx="5">
                  <c:v>0.14929621005971155</c:v>
                </c:pt>
                <c:pt idx="6">
                  <c:v>0.14929621005971155</c:v>
                </c:pt>
                <c:pt idx="7">
                  <c:v>0.14929621005971155</c:v>
                </c:pt>
                <c:pt idx="8">
                  <c:v>0.14929621005971155</c:v>
                </c:pt>
                <c:pt idx="9">
                  <c:v>0.14929621005971155</c:v>
                </c:pt>
                <c:pt idx="10">
                  <c:v>0.14929621005971155</c:v>
                </c:pt>
                <c:pt idx="11">
                  <c:v>0.14929621005971155</c:v>
                </c:pt>
                <c:pt idx="12">
                  <c:v>0.14929621005971155</c:v>
                </c:pt>
                <c:pt idx="13">
                  <c:v>0.14929621005971155</c:v>
                </c:pt>
                <c:pt idx="14">
                  <c:v>0.14929621005971155</c:v>
                </c:pt>
                <c:pt idx="15">
                  <c:v>0.14929621005971155</c:v>
                </c:pt>
                <c:pt idx="16">
                  <c:v>0.14929621005971155</c:v>
                </c:pt>
                <c:pt idx="17">
                  <c:v>0.14929621005971155</c:v>
                </c:pt>
                <c:pt idx="18">
                  <c:v>0.14929621005971155</c:v>
                </c:pt>
                <c:pt idx="19">
                  <c:v>0.14929621005971155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90E-404D-B4DE-2716160A66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83621184"/>
        <c:axId val="583638464"/>
      </c:lineChart>
      <c:catAx>
        <c:axId val="5836211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3638464"/>
        <c:crosses val="autoZero"/>
        <c:auto val="1"/>
        <c:lblAlgn val="ctr"/>
        <c:lblOffset val="100"/>
        <c:noMultiLvlLbl val="0"/>
      </c:catAx>
      <c:valAx>
        <c:axId val="583638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36211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EWMA for Shifted</a:t>
            </a:r>
            <a:r>
              <a:rPr lang="en-CA" baseline="0"/>
              <a:t> Mean (n=1)</a:t>
            </a:r>
            <a:endParaRPr lang="en-C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'n=1'!$C$1</c:f>
              <c:strCache>
                <c:ptCount val="1"/>
                <c:pt idx="0">
                  <c:v>zi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'n=1'!$A$2:$A$21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cat>
          <c:val>
            <c:numRef>
              <c:f>'n=1'!$C$2:$C$21</c:f>
              <c:numCache>
                <c:formatCode>General</c:formatCode>
                <c:ptCount val="20"/>
                <c:pt idx="0">
                  <c:v>9.9555000000000007</c:v>
                </c:pt>
                <c:pt idx="1">
                  <c:v>10.009950000000002</c:v>
                </c:pt>
                <c:pt idx="2">
                  <c:v>10.018955000000002</c:v>
                </c:pt>
                <c:pt idx="3">
                  <c:v>10.027059500000002</c:v>
                </c:pt>
                <c:pt idx="4">
                  <c:v>10.014353550000003</c:v>
                </c:pt>
                <c:pt idx="5">
                  <c:v>9.9829181950000034</c:v>
                </c:pt>
                <c:pt idx="6">
                  <c:v>10.034626375500004</c:v>
                </c:pt>
                <c:pt idx="7">
                  <c:v>10.011163737950005</c:v>
                </c:pt>
                <c:pt idx="8">
                  <c:v>9.9800473641550056</c:v>
                </c:pt>
                <c:pt idx="9">
                  <c:v>9.9520426277395053</c:v>
                </c:pt>
                <c:pt idx="10">
                  <c:v>9.9568383649655559</c:v>
                </c:pt>
                <c:pt idx="11">
                  <c:v>9.9311545284690013</c:v>
                </c:pt>
                <c:pt idx="12">
                  <c:v>9.8980390756221013</c:v>
                </c:pt>
                <c:pt idx="13">
                  <c:v>9.9282351680598904</c:v>
                </c:pt>
                <c:pt idx="14">
                  <c:v>9.9554116512539004</c:v>
                </c:pt>
                <c:pt idx="15">
                  <c:v>9.9898704861285097</c:v>
                </c:pt>
                <c:pt idx="16">
                  <c:v>10.000883437515659</c:v>
                </c:pt>
                <c:pt idx="17">
                  <c:v>10.030795093764093</c:v>
                </c:pt>
                <c:pt idx="18">
                  <c:v>10.007715584387684</c:v>
                </c:pt>
                <c:pt idx="19">
                  <c:v>10.016944025948916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DB8-46A3-88A2-8DDFF983B5DC}"/>
            </c:ext>
          </c:extLst>
        </c:ser>
        <c:ser>
          <c:idx val="1"/>
          <c:order val="1"/>
          <c:tx>
            <c:strRef>
              <c:f>'n=1'!$D$1</c:f>
              <c:strCache>
                <c:ptCount val="1"/>
                <c:pt idx="0">
                  <c:v>CL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'n=1'!$A$2:$A$21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cat>
          <c:val>
            <c:numRef>
              <c:f>'n=1'!$D$2:$D$21</c:f>
              <c:numCache>
                <c:formatCode>General</c:formatCode>
                <c:ptCount val="20"/>
                <c:pt idx="0">
                  <c:v>9.995000000000001</c:v>
                </c:pt>
                <c:pt idx="1">
                  <c:v>9.995000000000001</c:v>
                </c:pt>
                <c:pt idx="2">
                  <c:v>9.995000000000001</c:v>
                </c:pt>
                <c:pt idx="3">
                  <c:v>9.995000000000001</c:v>
                </c:pt>
                <c:pt idx="4">
                  <c:v>9.995000000000001</c:v>
                </c:pt>
                <c:pt idx="5">
                  <c:v>9.995000000000001</c:v>
                </c:pt>
                <c:pt idx="6">
                  <c:v>9.995000000000001</c:v>
                </c:pt>
                <c:pt idx="7">
                  <c:v>9.995000000000001</c:v>
                </c:pt>
                <c:pt idx="8">
                  <c:v>9.995000000000001</c:v>
                </c:pt>
                <c:pt idx="9">
                  <c:v>9.995000000000001</c:v>
                </c:pt>
                <c:pt idx="10">
                  <c:v>9.995000000000001</c:v>
                </c:pt>
                <c:pt idx="11">
                  <c:v>9.995000000000001</c:v>
                </c:pt>
                <c:pt idx="12">
                  <c:v>9.995000000000001</c:v>
                </c:pt>
                <c:pt idx="13">
                  <c:v>9.995000000000001</c:v>
                </c:pt>
                <c:pt idx="14">
                  <c:v>9.995000000000001</c:v>
                </c:pt>
                <c:pt idx="15">
                  <c:v>9.995000000000001</c:v>
                </c:pt>
                <c:pt idx="16">
                  <c:v>9.995000000000001</c:v>
                </c:pt>
                <c:pt idx="17">
                  <c:v>9.995000000000001</c:v>
                </c:pt>
                <c:pt idx="18">
                  <c:v>9.995000000000001</c:v>
                </c:pt>
                <c:pt idx="19">
                  <c:v>9.995000000000001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DB8-46A3-88A2-8DDFF983B5DC}"/>
            </c:ext>
          </c:extLst>
        </c:ser>
        <c:ser>
          <c:idx val="2"/>
          <c:order val="2"/>
          <c:tx>
            <c:strRef>
              <c:f>'n=1'!$E$1</c:f>
              <c:strCache>
                <c:ptCount val="1"/>
                <c:pt idx="0">
                  <c:v>UCL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'n=1'!$A$2:$A$21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cat>
          <c:val>
            <c:numRef>
              <c:f>'n=1'!$E$2:$E$21</c:f>
              <c:numCache>
                <c:formatCode>General</c:formatCode>
                <c:ptCount val="20"/>
                <c:pt idx="0">
                  <c:v>10.075877543633636</c:v>
                </c:pt>
                <c:pt idx="1">
                  <c:v>10.103809606589774</c:v>
                </c:pt>
                <c:pt idx="2">
                  <c:v>10.122008648359275</c:v>
                </c:pt>
                <c:pt idx="3">
                  <c:v>10.135026591896793</c:v>
                </c:pt>
                <c:pt idx="4">
                  <c:v>10.144743810153134</c:v>
                </c:pt>
                <c:pt idx="5">
                  <c:v>10.152174985587225</c:v>
                </c:pt>
                <c:pt idx="6">
                  <c:v>10.157945996270634</c:v>
                </c:pt>
                <c:pt idx="7">
                  <c:v>10.162474801691838</c:v>
                </c:pt>
                <c:pt idx="8">
                  <c:v>10.166055261589944</c:v>
                </c:pt>
                <c:pt idx="9">
                  <c:v>10.168901403397069</c:v>
                </c:pt>
                <c:pt idx="10">
                  <c:v>10.171173075491181</c:v>
                </c:pt>
                <c:pt idx="11">
                  <c:v>10.172991877938033</c:v>
                </c:pt>
                <c:pt idx="12">
                  <c:v>10.174451595255812</c:v>
                </c:pt>
                <c:pt idx="13">
                  <c:v>10.175625318951951</c:v>
                </c:pt>
                <c:pt idx="14">
                  <c:v>10.176570473370179</c:v>
                </c:pt>
                <c:pt idx="15">
                  <c:v>10.177332456990262</c:v>
                </c:pt>
                <c:pt idx="16">
                  <c:v>10.177947337260251</c:v>
                </c:pt>
                <c:pt idx="17">
                  <c:v>10.178443879469471</c:v>
                </c:pt>
                <c:pt idx="18">
                  <c:v>10.178845095570175</c:v>
                </c:pt>
                <c:pt idx="19">
                  <c:v>10.179169439886286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DB8-46A3-88A2-8DDFF983B5DC}"/>
            </c:ext>
          </c:extLst>
        </c:ser>
        <c:ser>
          <c:idx val="3"/>
          <c:order val="3"/>
          <c:tx>
            <c:strRef>
              <c:f>'n=1'!$F$1</c:f>
              <c:strCache>
                <c:ptCount val="1"/>
                <c:pt idx="0">
                  <c:v>LCL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'n=1'!$A$2:$A$21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cat>
          <c:val>
            <c:numRef>
              <c:f>'n=1'!$F$2:$F$21</c:f>
              <c:numCache>
                <c:formatCode>General</c:formatCode>
                <c:ptCount val="20"/>
                <c:pt idx="0">
                  <c:v>9.9141224563663659</c:v>
                </c:pt>
                <c:pt idx="1">
                  <c:v>9.886190393410228</c:v>
                </c:pt>
                <c:pt idx="2">
                  <c:v>9.8679913516407272</c:v>
                </c:pt>
                <c:pt idx="3">
                  <c:v>9.8549734081032092</c:v>
                </c:pt>
                <c:pt idx="4">
                  <c:v>9.845256189846868</c:v>
                </c:pt>
                <c:pt idx="5">
                  <c:v>9.8378250144127772</c:v>
                </c:pt>
                <c:pt idx="6">
                  <c:v>9.8320540037293682</c:v>
                </c:pt>
                <c:pt idx="7">
                  <c:v>9.8275251983081642</c:v>
                </c:pt>
                <c:pt idx="8">
                  <c:v>9.8239447384100576</c:v>
                </c:pt>
                <c:pt idx="9">
                  <c:v>9.8210985966029334</c:v>
                </c:pt>
                <c:pt idx="10">
                  <c:v>9.8188269245088211</c:v>
                </c:pt>
                <c:pt idx="11">
                  <c:v>9.8170081220619689</c:v>
                </c:pt>
                <c:pt idx="12">
                  <c:v>9.8155484047441899</c:v>
                </c:pt>
                <c:pt idx="13">
                  <c:v>9.8143746810480508</c:v>
                </c:pt>
                <c:pt idx="14">
                  <c:v>9.8134295266298235</c:v>
                </c:pt>
                <c:pt idx="15">
                  <c:v>9.8126675430097396</c:v>
                </c:pt>
                <c:pt idx="16">
                  <c:v>9.8120526627397506</c:v>
                </c:pt>
                <c:pt idx="17">
                  <c:v>9.8115561205305308</c:v>
                </c:pt>
                <c:pt idx="18">
                  <c:v>9.8111549044298272</c:v>
                </c:pt>
                <c:pt idx="19">
                  <c:v>9.8108305601137165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DB8-46A3-88A2-8DDFF983B5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83683104"/>
        <c:axId val="583683584"/>
      </c:lineChart>
      <c:catAx>
        <c:axId val="5836831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3683584"/>
        <c:crosses val="autoZero"/>
        <c:auto val="1"/>
        <c:lblAlgn val="ctr"/>
        <c:lblOffset val="100"/>
        <c:noMultiLvlLbl val="0"/>
      </c:catAx>
      <c:valAx>
        <c:axId val="58368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36831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EWMA</a:t>
            </a:r>
            <a:r>
              <a:rPr lang="en-CA" baseline="0"/>
              <a:t> for Shifted Mean (n=6)</a:t>
            </a:r>
            <a:endParaRPr lang="en-C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'n&gt;1'!$C$1</c:f>
              <c:strCache>
                <c:ptCount val="1"/>
                <c:pt idx="0">
                  <c:v>zi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'n&gt;1'!$A$2:$A$21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cat>
          <c:val>
            <c:numRef>
              <c:f>'n&gt;1'!$C$2:$C$21</c:f>
              <c:numCache>
                <c:formatCode>General</c:formatCode>
                <c:ptCount val="20"/>
                <c:pt idx="0">
                  <c:v>9.9520333333333344</c:v>
                </c:pt>
                <c:pt idx="1">
                  <c:v>9.9568300000000018</c:v>
                </c:pt>
                <c:pt idx="2">
                  <c:v>9.9528136666666693</c:v>
                </c:pt>
                <c:pt idx="3">
                  <c:v>9.9658656333333351</c:v>
                </c:pt>
                <c:pt idx="4">
                  <c:v>9.9759457366666684</c:v>
                </c:pt>
                <c:pt idx="5">
                  <c:v>9.9600178296666684</c:v>
                </c:pt>
                <c:pt idx="6">
                  <c:v>9.9416827133666672</c:v>
                </c:pt>
                <c:pt idx="7">
                  <c:v>9.9175144420300008</c:v>
                </c:pt>
                <c:pt idx="8">
                  <c:v>9.9457629978269999</c:v>
                </c:pt>
                <c:pt idx="9">
                  <c:v>9.9511866980442996</c:v>
                </c:pt>
                <c:pt idx="10">
                  <c:v>9.9560680282398692</c:v>
                </c:pt>
                <c:pt idx="11">
                  <c:v>9.9471278920825483</c:v>
                </c:pt>
                <c:pt idx="12">
                  <c:v>9.9440817695409613</c:v>
                </c:pt>
                <c:pt idx="13">
                  <c:v>9.9380069259201989</c:v>
                </c:pt>
                <c:pt idx="14">
                  <c:v>9.919206233328179</c:v>
                </c:pt>
                <c:pt idx="15">
                  <c:v>9.9372856099953619</c:v>
                </c:pt>
                <c:pt idx="16">
                  <c:v>9.9368903823291603</c:v>
                </c:pt>
                <c:pt idx="17">
                  <c:v>9.9315346774295783</c:v>
                </c:pt>
                <c:pt idx="18">
                  <c:v>9.9483812096866213</c:v>
                </c:pt>
                <c:pt idx="19">
                  <c:v>9.9368764220512915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87E-408F-B3DE-1C28993A3CE5}"/>
            </c:ext>
          </c:extLst>
        </c:ser>
        <c:ser>
          <c:idx val="1"/>
          <c:order val="1"/>
          <c:tx>
            <c:strRef>
              <c:f>'n&gt;1'!$D$1</c:f>
              <c:strCache>
                <c:ptCount val="1"/>
                <c:pt idx="0">
                  <c:v>CL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'n&gt;1'!$A$2:$A$21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cat>
          <c:val>
            <c:numRef>
              <c:f>'n&gt;1'!$D$2:$D$21</c:f>
              <c:numCache>
                <c:formatCode>General</c:formatCode>
                <c:ptCount val="20"/>
                <c:pt idx="0">
                  <c:v>9.9429999999999996</c:v>
                </c:pt>
                <c:pt idx="1">
                  <c:v>9.9429999999999996</c:v>
                </c:pt>
                <c:pt idx="2">
                  <c:v>9.9429999999999996</c:v>
                </c:pt>
                <c:pt idx="3">
                  <c:v>9.9429999999999996</c:v>
                </c:pt>
                <c:pt idx="4">
                  <c:v>9.9429999999999996</c:v>
                </c:pt>
                <c:pt idx="5">
                  <c:v>9.9429999999999996</c:v>
                </c:pt>
                <c:pt idx="6">
                  <c:v>9.9429999999999996</c:v>
                </c:pt>
                <c:pt idx="7">
                  <c:v>9.9429999999999996</c:v>
                </c:pt>
                <c:pt idx="8">
                  <c:v>9.9429999999999996</c:v>
                </c:pt>
                <c:pt idx="9">
                  <c:v>9.9429999999999996</c:v>
                </c:pt>
                <c:pt idx="10">
                  <c:v>9.9429999999999996</c:v>
                </c:pt>
                <c:pt idx="11">
                  <c:v>9.9429999999999996</c:v>
                </c:pt>
                <c:pt idx="12">
                  <c:v>9.9429999999999996</c:v>
                </c:pt>
                <c:pt idx="13">
                  <c:v>9.9429999999999996</c:v>
                </c:pt>
                <c:pt idx="14">
                  <c:v>9.9429999999999996</c:v>
                </c:pt>
                <c:pt idx="15">
                  <c:v>9.9429999999999996</c:v>
                </c:pt>
                <c:pt idx="16">
                  <c:v>9.9429999999999996</c:v>
                </c:pt>
                <c:pt idx="17">
                  <c:v>9.9429999999999996</c:v>
                </c:pt>
                <c:pt idx="18">
                  <c:v>9.9429999999999996</c:v>
                </c:pt>
                <c:pt idx="19">
                  <c:v>9.9429999999999996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87E-408F-B3DE-1C28993A3CE5}"/>
            </c:ext>
          </c:extLst>
        </c:ser>
        <c:ser>
          <c:idx val="2"/>
          <c:order val="2"/>
          <c:tx>
            <c:strRef>
              <c:f>'n&gt;1'!$E$1</c:f>
              <c:strCache>
                <c:ptCount val="1"/>
                <c:pt idx="0">
                  <c:v>UCL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'n&gt;1'!$A$2:$A$21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cat>
          <c:val>
            <c:numRef>
              <c:f>'n&gt;1'!$E$2:$E$21</c:f>
              <c:numCache>
                <c:formatCode>General</c:formatCode>
                <c:ptCount val="20"/>
                <c:pt idx="0">
                  <c:v>9.9829441476692313</c:v>
                </c:pt>
                <c:pt idx="1">
                  <c:v>9.9967393545622638</c:v>
                </c:pt>
                <c:pt idx="2">
                  <c:v>10.005727575262592</c:v>
                </c:pt>
                <c:pt idx="3">
                  <c:v>10.012156932976122</c:v>
                </c:pt>
                <c:pt idx="4">
                  <c:v>10.016956114349924</c:v>
                </c:pt>
                <c:pt idx="5">
                  <c:v>10.020626255102961</c:v>
                </c:pt>
                <c:pt idx="6">
                  <c:v>10.023476466578016</c:v>
                </c:pt>
                <c:pt idx="7">
                  <c:v>10.025713172397486</c:v>
                </c:pt>
                <c:pt idx="8">
                  <c:v>10.027481505268</c:v>
                </c:pt>
                <c:pt idx="9">
                  <c:v>10.028887169974464</c:v>
                </c:pt>
                <c:pt idx="10">
                  <c:v>10.030009113118464</c:v>
                </c:pt>
                <c:pt idx="11">
                  <c:v>10.030907391061316</c:v>
                </c:pt>
                <c:pt idx="12">
                  <c:v>10.031628322502568</c:v>
                </c:pt>
                <c:pt idx="13">
                  <c:v>10.032208006188979</c:v>
                </c:pt>
                <c:pt idx="14">
                  <c:v>10.032674803101395</c:v>
                </c:pt>
                <c:pt idx="15">
                  <c:v>10.033051134835455</c:v>
                </c:pt>
                <c:pt idx="16">
                  <c:v>10.033354814536889</c:v>
                </c:pt>
                <c:pt idx="17">
                  <c:v>10.033600048929996</c:v>
                </c:pt>
                <c:pt idx="18">
                  <c:v>10.033798203256325</c:v>
                </c:pt>
                <c:pt idx="19">
                  <c:v>10.033958391816416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87E-408F-B3DE-1C28993A3CE5}"/>
            </c:ext>
          </c:extLst>
        </c:ser>
        <c:ser>
          <c:idx val="3"/>
          <c:order val="3"/>
          <c:tx>
            <c:strRef>
              <c:f>'n&gt;1'!$F$1</c:f>
              <c:strCache>
                <c:ptCount val="1"/>
                <c:pt idx="0">
                  <c:v>LCL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'n&gt;1'!$A$2:$A$21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cat>
          <c:val>
            <c:numRef>
              <c:f>'n&gt;1'!$F$2:$F$21</c:f>
              <c:numCache>
                <c:formatCode>General</c:formatCode>
                <c:ptCount val="20"/>
                <c:pt idx="0">
                  <c:v>9.9030558523307679</c:v>
                </c:pt>
                <c:pt idx="1">
                  <c:v>9.8892606454377354</c:v>
                </c:pt>
                <c:pt idx="2">
                  <c:v>9.8802724247374076</c:v>
                </c:pt>
                <c:pt idx="3">
                  <c:v>9.873843067023877</c:v>
                </c:pt>
                <c:pt idx="4">
                  <c:v>9.8690438856500755</c:v>
                </c:pt>
                <c:pt idx="5">
                  <c:v>9.8653737448970382</c:v>
                </c:pt>
                <c:pt idx="6">
                  <c:v>9.8625235334219834</c:v>
                </c:pt>
                <c:pt idx="7">
                  <c:v>9.8602868276025131</c:v>
                </c:pt>
                <c:pt idx="8">
                  <c:v>9.8585184947319995</c:v>
                </c:pt>
                <c:pt idx="9">
                  <c:v>9.8571128300255353</c:v>
                </c:pt>
                <c:pt idx="10">
                  <c:v>9.8559908868815356</c:v>
                </c:pt>
                <c:pt idx="11">
                  <c:v>9.8550926089386834</c:v>
                </c:pt>
                <c:pt idx="12">
                  <c:v>9.854371677497431</c:v>
                </c:pt>
                <c:pt idx="13">
                  <c:v>9.8537919938110203</c:v>
                </c:pt>
                <c:pt idx="14">
                  <c:v>9.853325196898604</c:v>
                </c:pt>
                <c:pt idx="15">
                  <c:v>9.852948865164544</c:v>
                </c:pt>
                <c:pt idx="16">
                  <c:v>9.8526451854631105</c:v>
                </c:pt>
                <c:pt idx="17">
                  <c:v>9.8523999510700033</c:v>
                </c:pt>
                <c:pt idx="18">
                  <c:v>9.8522017967436746</c:v>
                </c:pt>
                <c:pt idx="19">
                  <c:v>9.8520416081835833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87E-408F-B3DE-1C28993A3C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79745952"/>
        <c:axId val="679728192"/>
      </c:lineChart>
      <c:catAx>
        <c:axId val="6797459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9728192"/>
        <c:crosses val="autoZero"/>
        <c:auto val="1"/>
        <c:lblAlgn val="ctr"/>
        <c:lblOffset val="100"/>
        <c:noMultiLvlLbl val="0"/>
      </c:catAx>
      <c:valAx>
        <c:axId val="679728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97459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EWMA</a:t>
            </a:r>
            <a:r>
              <a:rPr lang="en-CA" baseline="0"/>
              <a:t> for Shifted Variability (n=6)</a:t>
            </a:r>
            <a:endParaRPr lang="en-C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'n&gt;1'!$H$1</c:f>
              <c:strCache>
                <c:ptCount val="1"/>
                <c:pt idx="0">
                  <c:v>Sqrt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'n&gt;1'!$A$2:$A$21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cat>
          <c:val>
            <c:numRef>
              <c:f>'n&gt;1'!$H$2:$H$21</c:f>
              <c:numCache>
                <c:formatCode>General</c:formatCode>
                <c:ptCount val="20"/>
                <c:pt idx="0">
                  <c:v>0.13766010537229409</c:v>
                </c:pt>
                <c:pt idx="1">
                  <c:v>0.13586461459850391</c:v>
                </c:pt>
                <c:pt idx="2">
                  <c:v>0.13492085807777998</c:v>
                </c:pt>
                <c:pt idx="3">
                  <c:v>0.14178729824791947</c:v>
                </c:pt>
                <c:pt idx="4">
                  <c:v>0.14022709418812204</c:v>
                </c:pt>
                <c:pt idx="5">
                  <c:v>0.14046460269801467</c:v>
                </c:pt>
                <c:pt idx="6">
                  <c:v>0.14457168214341909</c:v>
                </c:pt>
                <c:pt idx="7">
                  <c:v>0.15504577872357547</c:v>
                </c:pt>
                <c:pt idx="8">
                  <c:v>0.1572869781641191</c:v>
                </c:pt>
                <c:pt idx="9">
                  <c:v>0.13586461459850391</c:v>
                </c:pt>
                <c:pt idx="10">
                  <c:v>0.13586461459850391</c:v>
                </c:pt>
                <c:pt idx="11">
                  <c:v>0.1368099823762059</c:v>
                </c:pt>
                <c:pt idx="12">
                  <c:v>0.13492085807777998</c:v>
                </c:pt>
                <c:pt idx="13">
                  <c:v>0.13597905945810596</c:v>
                </c:pt>
                <c:pt idx="14">
                  <c:v>0.14784854919815746</c:v>
                </c:pt>
                <c:pt idx="15">
                  <c:v>0.1435241913406935</c:v>
                </c:pt>
                <c:pt idx="16">
                  <c:v>0.13469832198080436</c:v>
                </c:pt>
                <c:pt idx="17">
                  <c:v>0.13597905945810596</c:v>
                </c:pt>
                <c:pt idx="18">
                  <c:v>0.1435241913406935</c:v>
                </c:pt>
                <c:pt idx="19">
                  <c:v>0.13905743877181759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BAE-410F-8CBD-8D638E98D58B}"/>
            </c:ext>
          </c:extLst>
        </c:ser>
        <c:ser>
          <c:idx val="1"/>
          <c:order val="1"/>
          <c:tx>
            <c:strRef>
              <c:f>'n&gt;1'!$I$1</c:f>
              <c:strCache>
                <c:ptCount val="1"/>
                <c:pt idx="0">
                  <c:v>CL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'n&gt;1'!$A$2:$A$21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cat>
          <c:val>
            <c:numRef>
              <c:f>'n&gt;1'!$I$2:$I$21</c:f>
              <c:numCache>
                <c:formatCode>General</c:formatCode>
                <c:ptCount val="20"/>
                <c:pt idx="0">
                  <c:v>0.14194793059428518</c:v>
                </c:pt>
                <c:pt idx="1">
                  <c:v>0.14194793059428518</c:v>
                </c:pt>
                <c:pt idx="2">
                  <c:v>0.14194793059428518</c:v>
                </c:pt>
                <c:pt idx="3">
                  <c:v>0.14194793059428518</c:v>
                </c:pt>
                <c:pt idx="4">
                  <c:v>0.14194793059428518</c:v>
                </c:pt>
                <c:pt idx="5">
                  <c:v>0.14194793059428518</c:v>
                </c:pt>
                <c:pt idx="6">
                  <c:v>0.14194793059428518</c:v>
                </c:pt>
                <c:pt idx="7">
                  <c:v>0.14194793059428518</c:v>
                </c:pt>
                <c:pt idx="8">
                  <c:v>0.14194793059428518</c:v>
                </c:pt>
                <c:pt idx="9">
                  <c:v>0.14194793059428518</c:v>
                </c:pt>
                <c:pt idx="10">
                  <c:v>0.14194793059428518</c:v>
                </c:pt>
                <c:pt idx="11">
                  <c:v>0.14194793059428518</c:v>
                </c:pt>
                <c:pt idx="12">
                  <c:v>0.14194793059428518</c:v>
                </c:pt>
                <c:pt idx="13">
                  <c:v>0.14194793059428518</c:v>
                </c:pt>
                <c:pt idx="14">
                  <c:v>0.14194793059428518</c:v>
                </c:pt>
                <c:pt idx="15">
                  <c:v>0.14194793059428518</c:v>
                </c:pt>
                <c:pt idx="16">
                  <c:v>0.14194793059428518</c:v>
                </c:pt>
                <c:pt idx="17">
                  <c:v>0.14194793059428518</c:v>
                </c:pt>
                <c:pt idx="18">
                  <c:v>0.14194793059428518</c:v>
                </c:pt>
                <c:pt idx="19">
                  <c:v>0.14194793059428518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BAE-410F-8CBD-8D638E98D58B}"/>
            </c:ext>
          </c:extLst>
        </c:ser>
        <c:ser>
          <c:idx val="2"/>
          <c:order val="2"/>
          <c:tx>
            <c:strRef>
              <c:f>'n&gt;1'!$J$1</c:f>
              <c:strCache>
                <c:ptCount val="1"/>
                <c:pt idx="0">
                  <c:v>UCL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'n&gt;1'!$A$2:$A$21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cat>
          <c:val>
            <c:numRef>
              <c:f>'n&gt;1'!$J$2:$J$21</c:f>
              <c:numCache>
                <c:formatCode>General</c:formatCode>
                <c:ptCount val="20"/>
                <c:pt idx="0">
                  <c:v>0.20946797345970422</c:v>
                </c:pt>
                <c:pt idx="1">
                  <c:v>0.20946797345970422</c:v>
                </c:pt>
                <c:pt idx="2">
                  <c:v>0.20946797345970422</c:v>
                </c:pt>
                <c:pt idx="3">
                  <c:v>0.20946797345970422</c:v>
                </c:pt>
                <c:pt idx="4">
                  <c:v>0.20946797345970422</c:v>
                </c:pt>
                <c:pt idx="5">
                  <c:v>0.20946797345970422</c:v>
                </c:pt>
                <c:pt idx="6">
                  <c:v>0.20946797345970422</c:v>
                </c:pt>
                <c:pt idx="7">
                  <c:v>0.20946797345970422</c:v>
                </c:pt>
                <c:pt idx="8">
                  <c:v>0.20946797345970422</c:v>
                </c:pt>
                <c:pt idx="9">
                  <c:v>0.20946797345970422</c:v>
                </c:pt>
                <c:pt idx="10">
                  <c:v>0.20946797345970422</c:v>
                </c:pt>
                <c:pt idx="11">
                  <c:v>0.20946797345970422</c:v>
                </c:pt>
                <c:pt idx="12">
                  <c:v>0.20946797345970422</c:v>
                </c:pt>
                <c:pt idx="13">
                  <c:v>0.20946797345970422</c:v>
                </c:pt>
                <c:pt idx="14">
                  <c:v>0.20946797345970422</c:v>
                </c:pt>
                <c:pt idx="15">
                  <c:v>0.20946797345970422</c:v>
                </c:pt>
                <c:pt idx="16">
                  <c:v>0.20946797345970422</c:v>
                </c:pt>
                <c:pt idx="17">
                  <c:v>0.20946797345970422</c:v>
                </c:pt>
                <c:pt idx="18">
                  <c:v>0.20946797345970422</c:v>
                </c:pt>
                <c:pt idx="19">
                  <c:v>0.20946797345970422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BAE-410F-8CBD-8D638E98D58B}"/>
            </c:ext>
          </c:extLst>
        </c:ser>
        <c:ser>
          <c:idx val="3"/>
          <c:order val="3"/>
          <c:tx>
            <c:strRef>
              <c:f>'n&gt;1'!$K$1</c:f>
              <c:strCache>
                <c:ptCount val="1"/>
                <c:pt idx="0">
                  <c:v>LCL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'n&gt;1'!$A$2:$A$21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cat>
          <c:val>
            <c:numRef>
              <c:f>'n&gt;1'!$K$2:$K$21</c:f>
              <c:numCache>
                <c:formatCode>General</c:formatCode>
                <c:ptCount val="20"/>
                <c:pt idx="0">
                  <c:v>7.3735051698599036E-2</c:v>
                </c:pt>
                <c:pt idx="1">
                  <c:v>7.3735051698599036E-2</c:v>
                </c:pt>
                <c:pt idx="2">
                  <c:v>7.3735051698599036E-2</c:v>
                </c:pt>
                <c:pt idx="3">
                  <c:v>7.3735051698599036E-2</c:v>
                </c:pt>
                <c:pt idx="4">
                  <c:v>7.3735051698599036E-2</c:v>
                </c:pt>
                <c:pt idx="5">
                  <c:v>7.3735051698599036E-2</c:v>
                </c:pt>
                <c:pt idx="6">
                  <c:v>7.3735051698599036E-2</c:v>
                </c:pt>
                <c:pt idx="7">
                  <c:v>7.3735051698599036E-2</c:v>
                </c:pt>
                <c:pt idx="8">
                  <c:v>7.3735051698599036E-2</c:v>
                </c:pt>
                <c:pt idx="9">
                  <c:v>7.3735051698599036E-2</c:v>
                </c:pt>
                <c:pt idx="10">
                  <c:v>7.3735051698599036E-2</c:v>
                </c:pt>
                <c:pt idx="11">
                  <c:v>7.3735051698599036E-2</c:v>
                </c:pt>
                <c:pt idx="12">
                  <c:v>7.3735051698599036E-2</c:v>
                </c:pt>
                <c:pt idx="13">
                  <c:v>7.3735051698599036E-2</c:v>
                </c:pt>
                <c:pt idx="14">
                  <c:v>7.3735051698599036E-2</c:v>
                </c:pt>
                <c:pt idx="15">
                  <c:v>7.3735051698599036E-2</c:v>
                </c:pt>
                <c:pt idx="16">
                  <c:v>7.3735051698599036E-2</c:v>
                </c:pt>
                <c:pt idx="17">
                  <c:v>7.3735051698599036E-2</c:v>
                </c:pt>
                <c:pt idx="18">
                  <c:v>7.3735051698599036E-2</c:v>
                </c:pt>
                <c:pt idx="19">
                  <c:v>7.3735051698599036E-2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BAE-410F-8CBD-8D638E98D5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79732032"/>
        <c:axId val="679736352"/>
      </c:lineChart>
      <c:catAx>
        <c:axId val="6797320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9736352"/>
        <c:crosses val="autoZero"/>
        <c:auto val="1"/>
        <c:lblAlgn val="ctr"/>
        <c:lblOffset val="100"/>
        <c:noMultiLvlLbl val="0"/>
      </c:catAx>
      <c:valAx>
        <c:axId val="679736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97320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73442</xdr:colOff>
      <xdr:row>27</xdr:row>
      <xdr:rowOff>126196</xdr:rowOff>
    </xdr:from>
    <xdr:to>
      <xdr:col>19</xdr:col>
      <xdr:colOff>355140</xdr:colOff>
      <xdr:row>43</xdr:row>
      <xdr:rowOff>4137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E230E3E-EA75-EA4A-5C9E-56F21F7078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16043</xdr:colOff>
      <xdr:row>9</xdr:row>
      <xdr:rowOff>152400</xdr:rowOff>
    </xdr:from>
    <xdr:to>
      <xdr:col>19</xdr:col>
      <xdr:colOff>320843</xdr:colOff>
      <xdr:row>24</xdr:row>
      <xdr:rowOff>128337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517419D-9A8A-F794-4C54-3FB44D39DD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365760</xdr:colOff>
      <xdr:row>10</xdr:row>
      <xdr:rowOff>87630</xdr:rowOff>
    </xdr:from>
    <xdr:to>
      <xdr:col>19</xdr:col>
      <xdr:colOff>60960</xdr:colOff>
      <xdr:row>25</xdr:row>
      <xdr:rowOff>87630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AFC3F9B-D16E-CCC0-6E87-E17ED70E7A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356259</xdr:colOff>
      <xdr:row>26</xdr:row>
      <xdr:rowOff>43542</xdr:rowOff>
    </xdr:from>
    <xdr:to>
      <xdr:col>19</xdr:col>
      <xdr:colOff>19792</xdr:colOff>
      <xdr:row>41</xdr:row>
      <xdr:rowOff>114794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0C06B0F-5ACC-09AB-C085-AA8E96B0BD7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6CF7AA-ECC3-48E7-9774-3C2ECA131605}">
  <dimension ref="A1:C121"/>
  <sheetViews>
    <sheetView workbookViewId="0">
      <selection activeCell="H15" sqref="H15"/>
    </sheetView>
  </sheetViews>
  <sheetFormatPr defaultRowHeight="14.4" x14ac:dyDescent="0.3"/>
  <cols>
    <col min="1" max="1" width="14.88671875" bestFit="1" customWidth="1"/>
    <col min="2" max="2" width="17.33203125" bestFit="1" customWidth="1"/>
    <col min="3" max="3" width="20.6640625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>
        <v>1</v>
      </c>
      <c r="B2" s="2">
        <v>1</v>
      </c>
      <c r="C2" s="2">
        <v>9.6</v>
      </c>
    </row>
    <row r="3" spans="1:3" x14ac:dyDescent="0.3">
      <c r="A3" s="2">
        <v>2</v>
      </c>
      <c r="B3" s="2">
        <v>1</v>
      </c>
      <c r="C3" s="2">
        <v>10.3</v>
      </c>
    </row>
    <row r="4" spans="1:3" x14ac:dyDescent="0.3">
      <c r="A4" s="2">
        <v>3</v>
      </c>
      <c r="B4" s="2">
        <v>1</v>
      </c>
      <c r="C4" s="2">
        <v>10.3</v>
      </c>
    </row>
    <row r="5" spans="1:3" x14ac:dyDescent="0.3">
      <c r="A5" s="2">
        <v>4</v>
      </c>
      <c r="B5" s="2">
        <v>1</v>
      </c>
      <c r="C5" s="2">
        <v>9.9</v>
      </c>
    </row>
    <row r="6" spans="1:3" x14ac:dyDescent="0.3">
      <c r="A6" s="2">
        <v>5</v>
      </c>
      <c r="B6" s="2">
        <v>1</v>
      </c>
      <c r="C6" s="2">
        <v>10.199999999999999</v>
      </c>
    </row>
    <row r="7" spans="1:3" x14ac:dyDescent="0.3">
      <c r="A7" s="2">
        <v>6</v>
      </c>
      <c r="B7" s="2">
        <v>1</v>
      </c>
      <c r="C7" s="2">
        <v>9.9</v>
      </c>
    </row>
    <row r="8" spans="1:3" x14ac:dyDescent="0.3">
      <c r="A8" s="2">
        <v>7</v>
      </c>
      <c r="B8" s="2">
        <v>2</v>
      </c>
      <c r="C8" s="2">
        <v>10.5</v>
      </c>
    </row>
    <row r="9" spans="1:3" x14ac:dyDescent="0.3">
      <c r="A9" s="2">
        <v>8</v>
      </c>
      <c r="B9" s="2">
        <v>2</v>
      </c>
      <c r="C9" s="2">
        <v>10.199999999999999</v>
      </c>
    </row>
    <row r="10" spans="1:3" x14ac:dyDescent="0.3">
      <c r="A10" s="2">
        <v>9</v>
      </c>
      <c r="B10" s="2">
        <v>2</v>
      </c>
      <c r="C10" s="2">
        <v>10.7</v>
      </c>
    </row>
    <row r="11" spans="1:3" x14ac:dyDescent="0.3">
      <c r="A11" s="2">
        <v>10</v>
      </c>
      <c r="B11" s="2">
        <v>2</v>
      </c>
      <c r="C11" s="2">
        <v>9.6</v>
      </c>
    </row>
    <row r="12" spans="1:3" x14ac:dyDescent="0.3">
      <c r="A12" s="2">
        <v>11</v>
      </c>
      <c r="B12" s="2">
        <v>2</v>
      </c>
      <c r="C12" s="2">
        <v>9.4</v>
      </c>
    </row>
    <row r="13" spans="1:3" x14ac:dyDescent="0.3">
      <c r="A13" s="2">
        <v>12</v>
      </c>
      <c r="B13" s="2">
        <v>2</v>
      </c>
      <c r="C13" s="2">
        <v>9.6</v>
      </c>
    </row>
    <row r="14" spans="1:3" x14ac:dyDescent="0.3">
      <c r="A14" s="2">
        <v>13</v>
      </c>
      <c r="B14" s="2">
        <v>3</v>
      </c>
      <c r="C14" s="2">
        <v>10.1</v>
      </c>
    </row>
    <row r="15" spans="1:3" x14ac:dyDescent="0.3">
      <c r="A15" s="2">
        <v>14</v>
      </c>
      <c r="B15" s="2">
        <v>3</v>
      </c>
      <c r="C15" s="2">
        <v>10.3</v>
      </c>
    </row>
    <row r="16" spans="1:3" x14ac:dyDescent="0.3">
      <c r="A16" s="2">
        <v>15</v>
      </c>
      <c r="B16" s="2">
        <v>3</v>
      </c>
      <c r="C16" s="2">
        <v>9.6999999999999993</v>
      </c>
    </row>
    <row r="17" spans="1:3" x14ac:dyDescent="0.3">
      <c r="A17" s="2">
        <v>16</v>
      </c>
      <c r="B17" s="2">
        <v>3</v>
      </c>
      <c r="C17" s="2">
        <v>9.6999999999999993</v>
      </c>
    </row>
    <row r="18" spans="1:3" x14ac:dyDescent="0.3">
      <c r="A18" s="2">
        <v>17</v>
      </c>
      <c r="B18" s="2">
        <v>3</v>
      </c>
      <c r="C18" s="2">
        <v>9.6999999999999993</v>
      </c>
    </row>
    <row r="19" spans="1:3" x14ac:dyDescent="0.3">
      <c r="A19" s="2">
        <v>18</v>
      </c>
      <c r="B19" s="2">
        <v>3</v>
      </c>
      <c r="C19" s="2">
        <v>10</v>
      </c>
    </row>
    <row r="20" spans="1:3" x14ac:dyDescent="0.3">
      <c r="A20" s="2">
        <v>19</v>
      </c>
      <c r="B20" s="2">
        <v>4</v>
      </c>
      <c r="C20" s="2">
        <v>10.1</v>
      </c>
    </row>
    <row r="21" spans="1:3" x14ac:dyDescent="0.3">
      <c r="A21" s="2">
        <v>20</v>
      </c>
      <c r="B21" s="2">
        <v>4</v>
      </c>
      <c r="C21" s="2">
        <v>10.1</v>
      </c>
    </row>
    <row r="22" spans="1:3" x14ac:dyDescent="0.3">
      <c r="A22" s="2">
        <v>21</v>
      </c>
      <c r="B22" s="2">
        <v>4</v>
      </c>
      <c r="C22" s="2">
        <v>10.1</v>
      </c>
    </row>
    <row r="23" spans="1:3" x14ac:dyDescent="0.3">
      <c r="A23" s="2">
        <v>22</v>
      </c>
      <c r="B23" s="2">
        <v>4</v>
      </c>
      <c r="C23" s="2">
        <v>10</v>
      </c>
    </row>
    <row r="24" spans="1:3" x14ac:dyDescent="0.3">
      <c r="A24" s="2">
        <v>23</v>
      </c>
      <c r="B24" s="2">
        <v>4</v>
      </c>
      <c r="C24" s="2">
        <v>10.199999999999999</v>
      </c>
    </row>
    <row r="25" spans="1:3" x14ac:dyDescent="0.3">
      <c r="A25" s="2">
        <v>24</v>
      </c>
      <c r="B25" s="2">
        <v>4</v>
      </c>
      <c r="C25" s="2">
        <v>10</v>
      </c>
    </row>
    <row r="26" spans="1:3" x14ac:dyDescent="0.3">
      <c r="A26" s="2">
        <v>25</v>
      </c>
      <c r="B26" s="2">
        <v>5</v>
      </c>
      <c r="C26" s="2">
        <v>9.9</v>
      </c>
    </row>
    <row r="27" spans="1:3" x14ac:dyDescent="0.3">
      <c r="A27" s="2">
        <v>26</v>
      </c>
      <c r="B27" s="2">
        <v>5</v>
      </c>
      <c r="C27" s="2">
        <v>9.6999999999999993</v>
      </c>
    </row>
    <row r="28" spans="1:3" x14ac:dyDescent="0.3">
      <c r="A28" s="2">
        <v>27</v>
      </c>
      <c r="B28" s="2">
        <v>5</v>
      </c>
      <c r="C28" s="2">
        <v>9.9</v>
      </c>
    </row>
    <row r="29" spans="1:3" x14ac:dyDescent="0.3">
      <c r="A29" s="2">
        <v>28</v>
      </c>
      <c r="B29" s="2">
        <v>5</v>
      </c>
      <c r="C29" s="2">
        <v>10.5</v>
      </c>
    </row>
    <row r="30" spans="1:3" x14ac:dyDescent="0.3">
      <c r="A30" s="2">
        <v>29</v>
      </c>
      <c r="B30" s="2">
        <v>5</v>
      </c>
      <c r="C30" s="2">
        <v>10.3</v>
      </c>
    </row>
    <row r="31" spans="1:3" x14ac:dyDescent="0.3">
      <c r="A31" s="2">
        <v>30</v>
      </c>
      <c r="B31" s="2">
        <v>5</v>
      </c>
      <c r="C31" s="2">
        <v>10.1</v>
      </c>
    </row>
    <row r="32" spans="1:3" x14ac:dyDescent="0.3">
      <c r="A32" s="2">
        <v>31</v>
      </c>
      <c r="B32" s="2">
        <v>6</v>
      </c>
      <c r="C32" s="2">
        <v>9.6999999999999993</v>
      </c>
    </row>
    <row r="33" spans="1:3" x14ac:dyDescent="0.3">
      <c r="A33" s="2">
        <v>32</v>
      </c>
      <c r="B33" s="2">
        <v>6</v>
      </c>
      <c r="C33" s="2">
        <v>10.3</v>
      </c>
    </row>
    <row r="34" spans="1:3" x14ac:dyDescent="0.3">
      <c r="A34" s="2">
        <v>33</v>
      </c>
      <c r="B34" s="2">
        <v>6</v>
      </c>
      <c r="C34" s="2">
        <v>9.9</v>
      </c>
    </row>
    <row r="35" spans="1:3" x14ac:dyDescent="0.3">
      <c r="A35" s="2">
        <v>34</v>
      </c>
      <c r="B35" s="2">
        <v>6</v>
      </c>
      <c r="C35" s="2">
        <v>10.1</v>
      </c>
    </row>
    <row r="36" spans="1:3" x14ac:dyDescent="0.3">
      <c r="A36" s="2">
        <v>35</v>
      </c>
      <c r="B36" s="2">
        <v>6</v>
      </c>
      <c r="C36" s="2">
        <v>10</v>
      </c>
    </row>
    <row r="37" spans="1:3" x14ac:dyDescent="0.3">
      <c r="A37" s="2">
        <v>36</v>
      </c>
      <c r="B37" s="2">
        <v>6</v>
      </c>
      <c r="C37" s="2">
        <v>8.9</v>
      </c>
    </row>
    <row r="38" spans="1:3" x14ac:dyDescent="0.3">
      <c r="A38" s="2">
        <v>37</v>
      </c>
      <c r="B38" s="2">
        <v>7</v>
      </c>
      <c r="C38" s="2">
        <v>10.5</v>
      </c>
    </row>
    <row r="39" spans="1:3" x14ac:dyDescent="0.3">
      <c r="A39" s="2">
        <v>38</v>
      </c>
      <c r="B39" s="2">
        <v>7</v>
      </c>
      <c r="C39" s="2">
        <v>9.4</v>
      </c>
    </row>
    <row r="40" spans="1:3" x14ac:dyDescent="0.3">
      <c r="A40" s="2">
        <v>39</v>
      </c>
      <c r="B40" s="2">
        <v>7</v>
      </c>
      <c r="C40" s="2">
        <v>9.76</v>
      </c>
    </row>
    <row r="41" spans="1:3" x14ac:dyDescent="0.3">
      <c r="A41" s="2">
        <v>40</v>
      </c>
      <c r="B41" s="2">
        <v>7</v>
      </c>
      <c r="C41" s="2">
        <v>9.8000000000000007</v>
      </c>
    </row>
    <row r="42" spans="1:3" x14ac:dyDescent="0.3">
      <c r="A42" s="2">
        <v>41</v>
      </c>
      <c r="B42" s="2">
        <v>7</v>
      </c>
      <c r="C42" s="2">
        <v>9.1</v>
      </c>
    </row>
    <row r="43" spans="1:3" x14ac:dyDescent="0.3">
      <c r="A43" s="2">
        <v>42</v>
      </c>
      <c r="B43" s="2">
        <v>7</v>
      </c>
      <c r="C43" s="2">
        <v>10.1</v>
      </c>
    </row>
    <row r="44" spans="1:3" x14ac:dyDescent="0.3">
      <c r="A44" s="2">
        <v>43</v>
      </c>
      <c r="B44" s="2">
        <v>8</v>
      </c>
      <c r="C44" s="2">
        <v>9.8000000000000007</v>
      </c>
    </row>
    <row r="45" spans="1:3" x14ac:dyDescent="0.3">
      <c r="A45" s="2">
        <v>44</v>
      </c>
      <c r="B45" s="2">
        <v>8</v>
      </c>
      <c r="C45" s="2">
        <v>9.9</v>
      </c>
    </row>
    <row r="46" spans="1:3" x14ac:dyDescent="0.3">
      <c r="A46" s="2">
        <v>45</v>
      </c>
      <c r="B46" s="2">
        <v>8</v>
      </c>
      <c r="C46" s="2">
        <v>9.6999999999999993</v>
      </c>
    </row>
    <row r="47" spans="1:3" x14ac:dyDescent="0.3">
      <c r="A47" s="2">
        <v>46</v>
      </c>
      <c r="B47" s="2">
        <v>8</v>
      </c>
      <c r="C47" s="2">
        <v>9.6999999999999993</v>
      </c>
    </row>
    <row r="48" spans="1:3" x14ac:dyDescent="0.3">
      <c r="A48" s="2">
        <v>47</v>
      </c>
      <c r="B48" s="2">
        <v>8</v>
      </c>
      <c r="C48" s="2">
        <v>9.3000000000000007</v>
      </c>
    </row>
    <row r="49" spans="1:3" x14ac:dyDescent="0.3">
      <c r="A49" s="2">
        <v>48</v>
      </c>
      <c r="B49" s="2">
        <v>8</v>
      </c>
      <c r="C49" s="2">
        <v>9.8000000000000007</v>
      </c>
    </row>
    <row r="50" spans="1:3" x14ac:dyDescent="0.3">
      <c r="A50" s="2">
        <v>49</v>
      </c>
      <c r="B50" s="2">
        <v>9</v>
      </c>
      <c r="C50" s="2">
        <v>9.6999999999999993</v>
      </c>
    </row>
    <row r="51" spans="1:3" x14ac:dyDescent="0.3">
      <c r="A51" s="2">
        <v>50</v>
      </c>
      <c r="B51" s="2">
        <v>9</v>
      </c>
      <c r="C51" s="2">
        <v>10.4</v>
      </c>
    </row>
    <row r="52" spans="1:3" x14ac:dyDescent="0.3">
      <c r="A52" s="2">
        <v>51</v>
      </c>
      <c r="B52" s="2">
        <v>9</v>
      </c>
      <c r="C52" s="2">
        <v>10.3</v>
      </c>
    </row>
    <row r="53" spans="1:3" x14ac:dyDescent="0.3">
      <c r="A53" s="2">
        <v>52</v>
      </c>
      <c r="B53" s="2">
        <v>9</v>
      </c>
      <c r="C53" s="2">
        <v>10.3</v>
      </c>
    </row>
    <row r="54" spans="1:3" x14ac:dyDescent="0.3">
      <c r="A54" s="2">
        <v>53</v>
      </c>
      <c r="B54" s="2">
        <v>9</v>
      </c>
      <c r="C54" s="2">
        <v>10</v>
      </c>
    </row>
    <row r="55" spans="1:3" x14ac:dyDescent="0.3">
      <c r="A55" s="2">
        <v>54</v>
      </c>
      <c r="B55" s="2">
        <v>9</v>
      </c>
      <c r="C55" s="2">
        <v>10.5</v>
      </c>
    </row>
    <row r="56" spans="1:3" x14ac:dyDescent="0.3">
      <c r="A56" s="2">
        <v>55</v>
      </c>
      <c r="B56" s="2">
        <v>10</v>
      </c>
      <c r="C56" s="2">
        <v>9.6999999999999993</v>
      </c>
    </row>
    <row r="57" spans="1:3" x14ac:dyDescent="0.3">
      <c r="A57" s="2">
        <v>56</v>
      </c>
      <c r="B57" s="2">
        <v>10</v>
      </c>
      <c r="C57" s="2">
        <v>9.8000000000000007</v>
      </c>
    </row>
    <row r="58" spans="1:3" x14ac:dyDescent="0.3">
      <c r="A58" s="2">
        <v>57</v>
      </c>
      <c r="B58" s="2">
        <v>10</v>
      </c>
      <c r="C58" s="2">
        <v>10.1</v>
      </c>
    </row>
    <row r="59" spans="1:3" x14ac:dyDescent="0.3">
      <c r="A59" s="2">
        <v>58</v>
      </c>
      <c r="B59" s="2">
        <v>10</v>
      </c>
      <c r="C59" s="2">
        <v>9.6</v>
      </c>
    </row>
    <row r="60" spans="1:3" x14ac:dyDescent="0.3">
      <c r="A60" s="2">
        <v>59</v>
      </c>
      <c r="B60" s="2">
        <v>10</v>
      </c>
      <c r="C60" s="2">
        <v>10.6</v>
      </c>
    </row>
    <row r="61" spans="1:3" x14ac:dyDescent="0.3">
      <c r="A61" s="2">
        <v>60</v>
      </c>
      <c r="B61" s="2">
        <v>10</v>
      </c>
      <c r="C61" s="2">
        <v>10.199999999999999</v>
      </c>
    </row>
    <row r="62" spans="1:3" x14ac:dyDescent="0.3">
      <c r="A62" s="2">
        <v>61</v>
      </c>
      <c r="B62" s="2">
        <v>11</v>
      </c>
      <c r="C62" s="2">
        <v>10</v>
      </c>
    </row>
    <row r="63" spans="1:3" x14ac:dyDescent="0.3">
      <c r="A63" s="2">
        <v>62</v>
      </c>
      <c r="B63" s="2">
        <v>11</v>
      </c>
      <c r="C63" s="2">
        <v>10.7</v>
      </c>
    </row>
    <row r="64" spans="1:3" x14ac:dyDescent="0.3">
      <c r="A64" s="2">
        <v>63</v>
      </c>
      <c r="B64" s="2">
        <v>11</v>
      </c>
      <c r="C64" s="2">
        <v>9.9</v>
      </c>
    </row>
    <row r="65" spans="1:3" x14ac:dyDescent="0.3">
      <c r="A65" s="2">
        <v>64</v>
      </c>
      <c r="B65" s="2">
        <v>11</v>
      </c>
      <c r="C65" s="2">
        <v>9.4</v>
      </c>
    </row>
    <row r="66" spans="1:3" x14ac:dyDescent="0.3">
      <c r="A66" s="2">
        <v>65</v>
      </c>
      <c r="B66" s="2">
        <v>11</v>
      </c>
      <c r="C66" s="2">
        <v>10.199999999999999</v>
      </c>
    </row>
    <row r="67" spans="1:3" x14ac:dyDescent="0.3">
      <c r="A67" s="2">
        <v>66</v>
      </c>
      <c r="B67" s="2">
        <v>11</v>
      </c>
      <c r="C67" s="2">
        <v>9.8000000000000007</v>
      </c>
    </row>
    <row r="68" spans="1:3" x14ac:dyDescent="0.3">
      <c r="A68" s="2">
        <v>67</v>
      </c>
      <c r="B68" s="2">
        <v>12</v>
      </c>
      <c r="C68" s="2">
        <v>9.6999999999999993</v>
      </c>
    </row>
    <row r="69" spans="1:3" x14ac:dyDescent="0.3">
      <c r="A69" s="2">
        <v>68</v>
      </c>
      <c r="B69" s="2">
        <v>12</v>
      </c>
      <c r="C69" s="2">
        <v>9.9</v>
      </c>
    </row>
    <row r="70" spans="1:3" x14ac:dyDescent="0.3">
      <c r="A70" s="2">
        <v>69</v>
      </c>
      <c r="B70" s="2">
        <v>12</v>
      </c>
      <c r="C70" s="2">
        <v>10</v>
      </c>
    </row>
    <row r="71" spans="1:3" x14ac:dyDescent="0.3">
      <c r="A71" s="2">
        <v>70</v>
      </c>
      <c r="B71" s="2">
        <v>12</v>
      </c>
      <c r="C71" s="2">
        <v>9.6</v>
      </c>
    </row>
    <row r="72" spans="1:3" x14ac:dyDescent="0.3">
      <c r="A72" s="2">
        <v>71</v>
      </c>
      <c r="B72" s="2">
        <v>12</v>
      </c>
      <c r="C72" s="2">
        <v>10.4</v>
      </c>
    </row>
    <row r="73" spans="1:3" x14ac:dyDescent="0.3">
      <c r="A73" s="2">
        <v>72</v>
      </c>
      <c r="B73" s="2">
        <v>12</v>
      </c>
      <c r="C73" s="2">
        <v>9.6</v>
      </c>
    </row>
    <row r="74" spans="1:3" x14ac:dyDescent="0.3">
      <c r="A74" s="2">
        <v>73</v>
      </c>
      <c r="B74" s="2">
        <v>13</v>
      </c>
      <c r="C74" s="2">
        <v>9.6</v>
      </c>
    </row>
    <row r="75" spans="1:3" x14ac:dyDescent="0.3">
      <c r="A75" s="2">
        <v>74</v>
      </c>
      <c r="B75" s="2">
        <v>13</v>
      </c>
      <c r="C75" s="2">
        <v>9.6</v>
      </c>
    </row>
    <row r="76" spans="1:3" x14ac:dyDescent="0.3">
      <c r="A76" s="2">
        <v>75</v>
      </c>
      <c r="B76" s="2">
        <v>13</v>
      </c>
      <c r="C76" s="2">
        <v>10.3</v>
      </c>
    </row>
    <row r="77" spans="1:3" x14ac:dyDescent="0.3">
      <c r="A77" s="2">
        <v>76</v>
      </c>
      <c r="B77" s="2">
        <v>13</v>
      </c>
      <c r="C77" s="2">
        <v>9.8000000000000007</v>
      </c>
    </row>
    <row r="78" spans="1:3" x14ac:dyDescent="0.3">
      <c r="A78" s="2">
        <v>77</v>
      </c>
      <c r="B78" s="2">
        <v>13</v>
      </c>
      <c r="C78" s="2">
        <v>9.8000000000000007</v>
      </c>
    </row>
    <row r="79" spans="1:3" x14ac:dyDescent="0.3">
      <c r="A79" s="2">
        <v>78</v>
      </c>
      <c r="B79" s="2">
        <v>13</v>
      </c>
      <c r="C79" s="2">
        <v>10.4</v>
      </c>
    </row>
    <row r="80" spans="1:3" x14ac:dyDescent="0.3">
      <c r="A80" s="2">
        <v>79</v>
      </c>
      <c r="B80" s="2">
        <v>14</v>
      </c>
      <c r="C80" s="2">
        <v>10.199999999999999</v>
      </c>
    </row>
    <row r="81" spans="1:3" x14ac:dyDescent="0.3">
      <c r="A81" s="2">
        <v>80</v>
      </c>
      <c r="B81" s="2">
        <v>14</v>
      </c>
      <c r="C81" s="2">
        <v>10.1</v>
      </c>
    </row>
    <row r="82" spans="1:3" x14ac:dyDescent="0.3">
      <c r="A82" s="2">
        <v>81</v>
      </c>
      <c r="B82" s="2">
        <v>14</v>
      </c>
      <c r="C82" s="2">
        <v>9</v>
      </c>
    </row>
    <row r="83" spans="1:3" x14ac:dyDescent="0.3">
      <c r="A83" s="2">
        <v>82</v>
      </c>
      <c r="B83" s="2">
        <v>14</v>
      </c>
      <c r="C83" s="2">
        <v>9.9</v>
      </c>
    </row>
    <row r="84" spans="1:3" x14ac:dyDescent="0.3">
      <c r="A84" s="2">
        <v>83</v>
      </c>
      <c r="B84" s="2">
        <v>14</v>
      </c>
      <c r="C84" s="2">
        <v>10.3</v>
      </c>
    </row>
    <row r="85" spans="1:3" x14ac:dyDescent="0.3">
      <c r="A85" s="2">
        <v>84</v>
      </c>
      <c r="B85" s="2">
        <v>14</v>
      </c>
      <c r="C85" s="2">
        <v>9.8000000000000007</v>
      </c>
    </row>
    <row r="86" spans="1:3" x14ac:dyDescent="0.3">
      <c r="A86" s="2">
        <v>85</v>
      </c>
      <c r="B86" s="2">
        <v>15</v>
      </c>
      <c r="C86" s="2">
        <v>10.199999999999999</v>
      </c>
    </row>
    <row r="87" spans="1:3" x14ac:dyDescent="0.3">
      <c r="A87" s="2">
        <v>86</v>
      </c>
      <c r="B87" s="2">
        <v>15</v>
      </c>
      <c r="C87" s="2">
        <v>10.1</v>
      </c>
    </row>
    <row r="88" spans="1:3" x14ac:dyDescent="0.3">
      <c r="A88" s="2">
        <v>87</v>
      </c>
      <c r="B88" s="2">
        <v>15</v>
      </c>
      <c r="C88" s="2">
        <v>9.4</v>
      </c>
    </row>
    <row r="89" spans="1:3" x14ac:dyDescent="0.3">
      <c r="A89" s="2">
        <v>88</v>
      </c>
      <c r="B89" s="2">
        <v>15</v>
      </c>
      <c r="C89" s="2">
        <v>9.5</v>
      </c>
    </row>
    <row r="90" spans="1:3" x14ac:dyDescent="0.3">
      <c r="A90" s="2">
        <v>89</v>
      </c>
      <c r="B90" s="2">
        <v>15</v>
      </c>
      <c r="C90" s="2">
        <v>9.5</v>
      </c>
    </row>
    <row r="91" spans="1:3" x14ac:dyDescent="0.3">
      <c r="A91" s="2">
        <v>90</v>
      </c>
      <c r="B91" s="2">
        <v>15</v>
      </c>
      <c r="C91" s="2">
        <v>9.8000000000000007</v>
      </c>
    </row>
    <row r="92" spans="1:3" x14ac:dyDescent="0.3">
      <c r="A92" s="2">
        <v>91</v>
      </c>
      <c r="B92" s="2">
        <v>16</v>
      </c>
      <c r="C92" s="2">
        <v>10.3</v>
      </c>
    </row>
    <row r="93" spans="1:3" x14ac:dyDescent="0.3">
      <c r="A93" s="2">
        <v>92</v>
      </c>
      <c r="B93" s="2">
        <v>16</v>
      </c>
      <c r="C93" s="2">
        <v>10.4</v>
      </c>
    </row>
    <row r="94" spans="1:3" x14ac:dyDescent="0.3">
      <c r="A94" s="2">
        <v>93</v>
      </c>
      <c r="B94" s="2">
        <v>16</v>
      </c>
      <c r="C94" s="2">
        <v>10.1</v>
      </c>
    </row>
    <row r="95" spans="1:3" x14ac:dyDescent="0.3">
      <c r="A95" s="2">
        <v>94</v>
      </c>
      <c r="B95" s="2">
        <v>16</v>
      </c>
      <c r="C95" s="2">
        <v>9.6999999999999993</v>
      </c>
    </row>
    <row r="96" spans="1:3" x14ac:dyDescent="0.3">
      <c r="A96" s="2">
        <v>95</v>
      </c>
      <c r="B96" s="2">
        <v>16</v>
      </c>
      <c r="C96" s="2">
        <v>9.9</v>
      </c>
    </row>
    <row r="97" spans="1:3" x14ac:dyDescent="0.3">
      <c r="A97" s="2">
        <v>96</v>
      </c>
      <c r="B97" s="2">
        <v>16</v>
      </c>
      <c r="C97" s="2">
        <v>10.199999999999999</v>
      </c>
    </row>
    <row r="98" spans="1:3" x14ac:dyDescent="0.3">
      <c r="A98" s="2">
        <v>97</v>
      </c>
      <c r="B98" s="2">
        <v>17</v>
      </c>
      <c r="C98" s="2">
        <v>10.1</v>
      </c>
    </row>
    <row r="99" spans="1:3" x14ac:dyDescent="0.3">
      <c r="A99" s="2">
        <v>98</v>
      </c>
      <c r="B99" s="2">
        <v>17</v>
      </c>
      <c r="C99" s="2">
        <v>9.1999999999999993</v>
      </c>
    </row>
    <row r="100" spans="1:3" x14ac:dyDescent="0.3">
      <c r="A100" s="2">
        <v>99</v>
      </c>
      <c r="B100" s="2">
        <v>17</v>
      </c>
      <c r="C100" s="2">
        <v>10.5</v>
      </c>
    </row>
    <row r="101" spans="1:3" x14ac:dyDescent="0.3">
      <c r="A101" s="2">
        <v>100</v>
      </c>
      <c r="B101" s="2">
        <v>17</v>
      </c>
      <c r="C101" s="2">
        <v>9.9</v>
      </c>
    </row>
    <row r="102" spans="1:3" x14ac:dyDescent="0.3">
      <c r="A102" s="2">
        <v>101</v>
      </c>
      <c r="B102" s="2">
        <v>17</v>
      </c>
      <c r="C102" s="2">
        <v>10</v>
      </c>
    </row>
    <row r="103" spans="1:3" x14ac:dyDescent="0.3">
      <c r="A103" s="2">
        <v>102</v>
      </c>
      <c r="B103" s="2">
        <v>17</v>
      </c>
      <c r="C103" s="2">
        <v>9.9</v>
      </c>
    </row>
    <row r="104" spans="1:3" x14ac:dyDescent="0.3">
      <c r="A104" s="2">
        <v>103</v>
      </c>
      <c r="B104" s="2">
        <v>18</v>
      </c>
      <c r="C104" s="2">
        <v>10.3</v>
      </c>
    </row>
    <row r="105" spans="1:3" x14ac:dyDescent="0.3">
      <c r="A105" s="2">
        <v>104</v>
      </c>
      <c r="B105" s="2">
        <v>18</v>
      </c>
      <c r="C105" s="2">
        <v>9.8000000000000007</v>
      </c>
    </row>
    <row r="106" spans="1:3" x14ac:dyDescent="0.3">
      <c r="A106" s="2">
        <v>105</v>
      </c>
      <c r="B106" s="2">
        <v>18</v>
      </c>
      <c r="C106" s="2">
        <v>9.6</v>
      </c>
    </row>
    <row r="107" spans="1:3" x14ac:dyDescent="0.3">
      <c r="A107" s="2">
        <v>106</v>
      </c>
      <c r="B107" s="2">
        <v>18</v>
      </c>
      <c r="C107" s="2">
        <v>10.1</v>
      </c>
    </row>
    <row r="108" spans="1:3" x14ac:dyDescent="0.3">
      <c r="A108" s="2">
        <v>107</v>
      </c>
      <c r="B108" s="2">
        <v>18</v>
      </c>
      <c r="C108" s="2">
        <v>9.6999999999999993</v>
      </c>
    </row>
    <row r="109" spans="1:3" x14ac:dyDescent="0.3">
      <c r="A109" s="2">
        <v>108</v>
      </c>
      <c r="B109" s="2">
        <v>18</v>
      </c>
      <c r="C109" s="2">
        <v>9.8000000000000007</v>
      </c>
    </row>
    <row r="110" spans="1:3" x14ac:dyDescent="0.3">
      <c r="A110" s="2">
        <v>109</v>
      </c>
      <c r="B110" s="2">
        <v>19</v>
      </c>
      <c r="C110" s="2">
        <v>9.8000000000000007</v>
      </c>
    </row>
    <row r="111" spans="1:3" x14ac:dyDescent="0.3">
      <c r="A111" s="2">
        <v>110</v>
      </c>
      <c r="B111" s="2">
        <v>19</v>
      </c>
      <c r="C111" s="2">
        <v>10</v>
      </c>
    </row>
    <row r="112" spans="1:3" x14ac:dyDescent="0.3">
      <c r="A112" s="2">
        <v>111</v>
      </c>
      <c r="B112" s="2">
        <v>19</v>
      </c>
      <c r="C112" s="2">
        <v>10.3</v>
      </c>
    </row>
    <row r="113" spans="1:3" x14ac:dyDescent="0.3">
      <c r="A113" s="2">
        <v>112</v>
      </c>
      <c r="B113" s="2">
        <v>19</v>
      </c>
      <c r="C113" s="2">
        <v>10.4</v>
      </c>
    </row>
    <row r="114" spans="1:3" x14ac:dyDescent="0.3">
      <c r="A114" s="2">
        <v>113</v>
      </c>
      <c r="B114" s="2">
        <v>19</v>
      </c>
      <c r="C114" s="2">
        <v>10.4</v>
      </c>
    </row>
    <row r="115" spans="1:3" x14ac:dyDescent="0.3">
      <c r="A115" s="2">
        <v>114</v>
      </c>
      <c r="B115" s="2">
        <v>19</v>
      </c>
      <c r="C115" s="2">
        <v>9.6999999999999993</v>
      </c>
    </row>
    <row r="116" spans="1:3" x14ac:dyDescent="0.3">
      <c r="A116" s="2">
        <v>115</v>
      </c>
      <c r="B116" s="2">
        <v>20</v>
      </c>
      <c r="C116" s="2">
        <v>10.1</v>
      </c>
    </row>
    <row r="117" spans="1:3" x14ac:dyDescent="0.3">
      <c r="A117" s="2">
        <v>116</v>
      </c>
      <c r="B117" s="2">
        <v>20</v>
      </c>
      <c r="C117" s="2">
        <v>9.6999999999999993</v>
      </c>
    </row>
    <row r="118" spans="1:3" x14ac:dyDescent="0.3">
      <c r="A118" s="2">
        <v>117</v>
      </c>
      <c r="B118" s="2">
        <v>20</v>
      </c>
      <c r="C118" s="2">
        <v>10</v>
      </c>
    </row>
    <row r="119" spans="1:3" x14ac:dyDescent="0.3">
      <c r="A119" s="2">
        <v>118</v>
      </c>
      <c r="B119" s="2">
        <v>20</v>
      </c>
      <c r="C119" s="2">
        <v>9.8000000000000007</v>
      </c>
    </row>
    <row r="120" spans="1:3" x14ac:dyDescent="0.3">
      <c r="A120" s="2">
        <v>119</v>
      </c>
      <c r="B120" s="2">
        <v>20</v>
      </c>
      <c r="C120" s="2">
        <v>9.8000000000000007</v>
      </c>
    </row>
    <row r="121" spans="1:3" x14ac:dyDescent="0.3">
      <c r="A121" s="2">
        <v>120</v>
      </c>
      <c r="B121" s="2">
        <v>20</v>
      </c>
      <c r="C121" s="2">
        <v>9.6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4294F9-3EDF-4F94-8DEB-133E6F09B11D}">
  <dimension ref="A1:P121"/>
  <sheetViews>
    <sheetView topLeftCell="A2" zoomScale="74" zoomScaleNormal="85" workbookViewId="0">
      <selection activeCell="X24" sqref="X24"/>
    </sheetView>
  </sheetViews>
  <sheetFormatPr defaultRowHeight="14.4" x14ac:dyDescent="0.3"/>
  <cols>
    <col min="2" max="2" width="9" bestFit="1" customWidth="1"/>
  </cols>
  <sheetData>
    <row r="1" spans="1:16" x14ac:dyDescent="0.3">
      <c r="A1" t="s">
        <v>3</v>
      </c>
      <c r="B1" t="s">
        <v>4</v>
      </c>
      <c r="C1" t="s">
        <v>13</v>
      </c>
      <c r="D1" t="s">
        <v>14</v>
      </c>
      <c r="E1" t="s">
        <v>15</v>
      </c>
      <c r="F1" t="s">
        <v>16</v>
      </c>
      <c r="G1" t="s">
        <v>19</v>
      </c>
      <c r="H1" t="s">
        <v>20</v>
      </c>
      <c r="I1" t="s">
        <v>14</v>
      </c>
      <c r="J1" t="s">
        <v>15</v>
      </c>
      <c r="K1" t="s">
        <v>16</v>
      </c>
      <c r="O1" t="s">
        <v>5</v>
      </c>
      <c r="P1">
        <v>6</v>
      </c>
    </row>
    <row r="2" spans="1:16" x14ac:dyDescent="0.3">
      <c r="A2">
        <v>1</v>
      </c>
      <c r="B2" s="2">
        <v>9.6</v>
      </c>
      <c r="C2">
        <f>$P$5*B2+(1-$P$5)*$P$2</f>
        <v>9.9555000000000007</v>
      </c>
      <c r="D2">
        <f t="shared" ref="D2:D21" si="0">$P$2</f>
        <v>9.995000000000001</v>
      </c>
      <c r="E2">
        <f t="shared" ref="E2:E21" si="1">D2+$P$4*$P$3*SQRT(($P$5/(2-$P$5))*(1-(1-$P$5)^(2*A2)))</f>
        <v>10.075877543633636</v>
      </c>
      <c r="F2">
        <f t="shared" ref="F2:F21" si="2">D2-$P$4*$P$3*SQRT(($P$5/(2-$P$5))*(1-(1-$P$5)^(2*A2)))</f>
        <v>9.9141224563663659</v>
      </c>
      <c r="G2">
        <f>$P$5*(B2-$P$2)^2+(1-$P$5)*$P$3^2</f>
        <v>8.9947236842105427E-2</v>
      </c>
      <c r="H2">
        <f>SQRT(G2)</f>
        <v>0.2999120485110684</v>
      </c>
      <c r="I2">
        <f t="shared" ref="I2:I21" si="3">$P$3</f>
        <v>0.28741131355236316</v>
      </c>
      <c r="J2">
        <f t="shared" ref="J2:J21" si="4">$P$3*SQRT(_xlfn.CHISQ.INV.RT($P$7/2,$P$6)/$P$6)</f>
        <v>0.42412358635419883</v>
      </c>
      <c r="K2">
        <f t="shared" ref="K2:K21" si="5">$P$3*SQRT(_xlfn.CHISQ.INV.RT(1-($P$7/2),$P$6)/$P$6)</f>
        <v>0.14929621005971155</v>
      </c>
      <c r="O2" t="s">
        <v>8</v>
      </c>
      <c r="P2">
        <v>9.995000000000001</v>
      </c>
    </row>
    <row r="3" spans="1:16" x14ac:dyDescent="0.3">
      <c r="A3">
        <v>2</v>
      </c>
      <c r="B3" s="2">
        <v>10.5</v>
      </c>
      <c r="C3">
        <f t="shared" ref="C3:C21" si="6">$P$5*B3+(1-$P$5)*C2</f>
        <v>10.009950000000002</v>
      </c>
      <c r="D3">
        <f t="shared" si="0"/>
        <v>9.995000000000001</v>
      </c>
      <c r="E3">
        <f t="shared" si="1"/>
        <v>10.103809606589774</v>
      </c>
      <c r="F3">
        <f t="shared" si="2"/>
        <v>9.886190393410228</v>
      </c>
      <c r="G3">
        <f t="shared" ref="G3:G21" si="7">$P$5*(B3-$P$2)^2+(1-$P$5)*G2</f>
        <v>0.10645501315789478</v>
      </c>
      <c r="H3">
        <f t="shared" ref="H3:H21" si="8">SQRT(G3)</f>
        <v>0.32627444453694926</v>
      </c>
      <c r="I3">
        <f t="shared" si="3"/>
        <v>0.28741131355236316</v>
      </c>
      <c r="J3">
        <f t="shared" si="4"/>
        <v>0.42412358635419883</v>
      </c>
      <c r="K3">
        <f t="shared" si="5"/>
        <v>0.14929621005971155</v>
      </c>
      <c r="O3" t="s">
        <v>9</v>
      </c>
      <c r="P3">
        <v>0.28741131355236316</v>
      </c>
    </row>
    <row r="4" spans="1:16" x14ac:dyDescent="0.3">
      <c r="A4">
        <v>3</v>
      </c>
      <c r="B4" s="2">
        <v>10.1</v>
      </c>
      <c r="C4">
        <f t="shared" si="6"/>
        <v>10.018955000000002</v>
      </c>
      <c r="D4">
        <f t="shared" si="0"/>
        <v>9.995000000000001</v>
      </c>
      <c r="E4">
        <f t="shared" si="1"/>
        <v>10.122008648359275</v>
      </c>
      <c r="F4">
        <f t="shared" si="2"/>
        <v>9.8679913516407272</v>
      </c>
      <c r="G4">
        <f t="shared" si="7"/>
        <v>9.6912011842105281E-2</v>
      </c>
      <c r="H4">
        <f t="shared" si="8"/>
        <v>0.31130694152573163</v>
      </c>
      <c r="I4">
        <f t="shared" si="3"/>
        <v>0.28741131355236316</v>
      </c>
      <c r="J4">
        <f t="shared" si="4"/>
        <v>0.42412358635419883</v>
      </c>
      <c r="K4">
        <f t="shared" si="5"/>
        <v>0.14929621005971155</v>
      </c>
      <c r="O4" t="s">
        <v>10</v>
      </c>
      <c r="P4">
        <v>2.8140000000000001</v>
      </c>
    </row>
    <row r="5" spans="1:16" x14ac:dyDescent="0.3">
      <c r="A5">
        <v>4</v>
      </c>
      <c r="B5" s="2">
        <v>10.1</v>
      </c>
      <c r="C5">
        <f t="shared" si="6"/>
        <v>10.027059500000002</v>
      </c>
      <c r="D5">
        <f t="shared" si="0"/>
        <v>9.995000000000001</v>
      </c>
      <c r="E5">
        <f t="shared" si="1"/>
        <v>10.135026591896793</v>
      </c>
      <c r="F5">
        <f t="shared" si="2"/>
        <v>9.8549734081032092</v>
      </c>
      <c r="G5">
        <f t="shared" si="7"/>
        <v>8.8323310657894727E-2</v>
      </c>
      <c r="H5">
        <f t="shared" si="8"/>
        <v>0.29719237987858088</v>
      </c>
      <c r="I5">
        <f t="shared" si="3"/>
        <v>0.28741131355236316</v>
      </c>
      <c r="J5">
        <f t="shared" si="4"/>
        <v>0.42412358635419883</v>
      </c>
      <c r="K5">
        <f t="shared" si="5"/>
        <v>0.14929621005971155</v>
      </c>
      <c r="O5" t="s">
        <v>11</v>
      </c>
      <c r="P5">
        <v>0.1</v>
      </c>
    </row>
    <row r="6" spans="1:16" x14ac:dyDescent="0.3">
      <c r="A6">
        <v>5</v>
      </c>
      <c r="B6" s="2">
        <v>9.9</v>
      </c>
      <c r="C6">
        <f t="shared" si="6"/>
        <v>10.014353550000003</v>
      </c>
      <c r="D6">
        <f t="shared" si="0"/>
        <v>9.995000000000001</v>
      </c>
      <c r="E6">
        <f t="shared" si="1"/>
        <v>10.144743810153134</v>
      </c>
      <c r="F6">
        <f t="shared" si="2"/>
        <v>9.845256189846868</v>
      </c>
      <c r="G6">
        <f t="shared" si="7"/>
        <v>8.0393479592105271E-2</v>
      </c>
      <c r="H6">
        <f t="shared" si="8"/>
        <v>0.28353743948922383</v>
      </c>
      <c r="I6">
        <f t="shared" si="3"/>
        <v>0.28741131355236316</v>
      </c>
      <c r="J6">
        <f t="shared" si="4"/>
        <v>0.42412358635419883</v>
      </c>
      <c r="K6">
        <f t="shared" si="5"/>
        <v>0.14929621005971155</v>
      </c>
      <c r="O6" t="s">
        <v>17</v>
      </c>
      <c r="P6">
        <f>(2-P5)/P5</f>
        <v>18.999999999999996</v>
      </c>
    </row>
    <row r="7" spans="1:16" x14ac:dyDescent="0.3">
      <c r="A7">
        <v>6</v>
      </c>
      <c r="B7" s="2">
        <v>9.6999999999999993</v>
      </c>
      <c r="C7">
        <f t="shared" si="6"/>
        <v>9.9829181950000034</v>
      </c>
      <c r="D7">
        <f t="shared" si="0"/>
        <v>9.995000000000001</v>
      </c>
      <c r="E7">
        <f t="shared" si="1"/>
        <v>10.152174985587225</v>
      </c>
      <c r="F7">
        <f t="shared" si="2"/>
        <v>9.8378250144127772</v>
      </c>
      <c r="G7">
        <f t="shared" si="7"/>
        <v>8.1056631632894852E-2</v>
      </c>
      <c r="H7">
        <f t="shared" si="8"/>
        <v>0.28470446366872237</v>
      </c>
      <c r="I7">
        <f t="shared" si="3"/>
        <v>0.28741131355236316</v>
      </c>
      <c r="J7">
        <f t="shared" si="4"/>
        <v>0.42412358635419883</v>
      </c>
      <c r="K7">
        <f t="shared" si="5"/>
        <v>0.14929621005971155</v>
      </c>
      <c r="O7" t="s">
        <v>18</v>
      </c>
      <c r="P7">
        <f>1/370</f>
        <v>2.7027027027027029E-3</v>
      </c>
    </row>
    <row r="8" spans="1:16" x14ac:dyDescent="0.3">
      <c r="A8">
        <v>7</v>
      </c>
      <c r="B8" s="2">
        <v>10.5</v>
      </c>
      <c r="C8">
        <f t="shared" si="6"/>
        <v>10.034626375500004</v>
      </c>
      <c r="D8">
        <f t="shared" si="0"/>
        <v>9.995000000000001</v>
      </c>
      <c r="E8">
        <f t="shared" si="1"/>
        <v>10.157945996270634</v>
      </c>
      <c r="F8">
        <f t="shared" si="2"/>
        <v>9.8320540037293682</v>
      </c>
      <c r="G8">
        <f t="shared" si="7"/>
        <v>9.8453468469605274E-2</v>
      </c>
      <c r="H8">
        <f t="shared" si="8"/>
        <v>0.31377295688061657</v>
      </c>
      <c r="I8">
        <f t="shared" si="3"/>
        <v>0.28741131355236316</v>
      </c>
      <c r="J8">
        <f t="shared" si="4"/>
        <v>0.42412358635419883</v>
      </c>
      <c r="K8">
        <f t="shared" si="5"/>
        <v>0.14929621005971155</v>
      </c>
    </row>
    <row r="9" spans="1:16" x14ac:dyDescent="0.3">
      <c r="A9">
        <v>8</v>
      </c>
      <c r="B9" s="2">
        <v>9.8000000000000007</v>
      </c>
      <c r="C9">
        <f t="shared" si="6"/>
        <v>10.011163737950005</v>
      </c>
      <c r="D9">
        <f t="shared" si="0"/>
        <v>9.995000000000001</v>
      </c>
      <c r="E9">
        <f t="shared" si="1"/>
        <v>10.162474801691838</v>
      </c>
      <c r="F9">
        <f t="shared" si="2"/>
        <v>9.8275251983081642</v>
      </c>
      <c r="G9">
        <f t="shared" si="7"/>
        <v>9.2410621622644767E-2</v>
      </c>
      <c r="H9">
        <f t="shared" si="8"/>
        <v>0.30399115385590542</v>
      </c>
      <c r="I9">
        <f t="shared" si="3"/>
        <v>0.28741131355236316</v>
      </c>
      <c r="J9">
        <f t="shared" si="4"/>
        <v>0.42412358635419883</v>
      </c>
      <c r="K9">
        <f t="shared" si="5"/>
        <v>0.14929621005971155</v>
      </c>
    </row>
    <row r="10" spans="1:16" x14ac:dyDescent="0.3">
      <c r="A10">
        <v>9</v>
      </c>
      <c r="B10" s="2">
        <v>9.6999999999999993</v>
      </c>
      <c r="C10">
        <f t="shared" si="6"/>
        <v>9.9800473641550056</v>
      </c>
      <c r="D10">
        <f t="shared" si="0"/>
        <v>9.995000000000001</v>
      </c>
      <c r="E10">
        <f t="shared" si="1"/>
        <v>10.166055261589944</v>
      </c>
      <c r="F10">
        <f t="shared" si="2"/>
        <v>9.8239447384100576</v>
      </c>
      <c r="G10">
        <f t="shared" si="7"/>
        <v>9.1872059460380393E-2</v>
      </c>
      <c r="H10">
        <f t="shared" si="8"/>
        <v>0.30310404065333801</v>
      </c>
      <c r="I10">
        <f t="shared" si="3"/>
        <v>0.28741131355236316</v>
      </c>
      <c r="J10">
        <f t="shared" si="4"/>
        <v>0.42412358635419883</v>
      </c>
      <c r="K10">
        <f t="shared" si="5"/>
        <v>0.14929621005971155</v>
      </c>
    </row>
    <row r="11" spans="1:16" x14ac:dyDescent="0.3">
      <c r="A11">
        <v>10</v>
      </c>
      <c r="B11" s="2">
        <v>9.6999999999999993</v>
      </c>
      <c r="C11">
        <f t="shared" si="6"/>
        <v>9.9520426277395053</v>
      </c>
      <c r="D11">
        <f t="shared" si="0"/>
        <v>9.995000000000001</v>
      </c>
      <c r="E11">
        <f t="shared" si="1"/>
        <v>10.168901403397069</v>
      </c>
      <c r="F11">
        <f t="shared" si="2"/>
        <v>9.8210985966029334</v>
      </c>
      <c r="G11">
        <f t="shared" si="7"/>
        <v>9.1387353514342448E-2</v>
      </c>
      <c r="H11">
        <f t="shared" si="8"/>
        <v>0.30230341300478636</v>
      </c>
      <c r="I11">
        <f t="shared" si="3"/>
        <v>0.28741131355236316</v>
      </c>
      <c r="J11">
        <f t="shared" si="4"/>
        <v>0.42412358635419883</v>
      </c>
      <c r="K11">
        <f t="shared" si="5"/>
        <v>0.14929621005971155</v>
      </c>
    </row>
    <row r="12" spans="1:16" x14ac:dyDescent="0.3">
      <c r="A12">
        <v>11</v>
      </c>
      <c r="B12" s="2">
        <v>10</v>
      </c>
      <c r="C12">
        <f t="shared" si="6"/>
        <v>9.9568383649655559</v>
      </c>
      <c r="D12">
        <f t="shared" si="0"/>
        <v>9.995000000000001</v>
      </c>
      <c r="E12">
        <f t="shared" si="1"/>
        <v>10.171173075491181</v>
      </c>
      <c r="F12">
        <f t="shared" si="2"/>
        <v>9.8188269245088211</v>
      </c>
      <c r="G12">
        <f t="shared" si="7"/>
        <v>8.2251118162908213E-2</v>
      </c>
      <c r="H12">
        <f t="shared" si="8"/>
        <v>0.28679455741507404</v>
      </c>
      <c r="I12">
        <f t="shared" si="3"/>
        <v>0.28741131355236316</v>
      </c>
      <c r="J12">
        <f t="shared" si="4"/>
        <v>0.42412358635419883</v>
      </c>
      <c r="K12">
        <f t="shared" si="5"/>
        <v>0.14929621005971155</v>
      </c>
    </row>
    <row r="13" spans="1:16" x14ac:dyDescent="0.3">
      <c r="A13">
        <v>12</v>
      </c>
      <c r="B13" s="2">
        <v>9.6999999999999993</v>
      </c>
      <c r="C13">
        <f t="shared" si="6"/>
        <v>9.9311545284690013</v>
      </c>
      <c r="D13">
        <f t="shared" si="0"/>
        <v>9.995000000000001</v>
      </c>
      <c r="E13">
        <f t="shared" si="1"/>
        <v>10.172991877938033</v>
      </c>
      <c r="F13">
        <f t="shared" si="2"/>
        <v>9.8170081220619689</v>
      </c>
      <c r="G13">
        <f t="shared" si="7"/>
        <v>8.2728506346617492E-2</v>
      </c>
      <c r="H13">
        <f t="shared" si="8"/>
        <v>0.28762563576047512</v>
      </c>
      <c r="I13">
        <f t="shared" si="3"/>
        <v>0.28741131355236316</v>
      </c>
      <c r="J13">
        <f t="shared" si="4"/>
        <v>0.42412358635419883</v>
      </c>
      <c r="K13">
        <f t="shared" si="5"/>
        <v>0.14929621005971155</v>
      </c>
    </row>
    <row r="14" spans="1:16" x14ac:dyDescent="0.3">
      <c r="A14">
        <v>13</v>
      </c>
      <c r="B14" s="2">
        <v>9.6</v>
      </c>
      <c r="C14">
        <f t="shared" si="6"/>
        <v>9.8980390756221013</v>
      </c>
      <c r="D14">
        <f t="shared" si="0"/>
        <v>9.995000000000001</v>
      </c>
      <c r="E14">
        <f t="shared" si="1"/>
        <v>10.174451595255812</v>
      </c>
      <c r="F14">
        <f t="shared" si="2"/>
        <v>9.8155484047441899</v>
      </c>
      <c r="G14">
        <f t="shared" si="7"/>
        <v>9.0058155711955856E-2</v>
      </c>
      <c r="H14">
        <f t="shared" si="8"/>
        <v>0.30009691053384047</v>
      </c>
      <c r="I14">
        <f t="shared" si="3"/>
        <v>0.28741131355236316</v>
      </c>
      <c r="J14">
        <f t="shared" si="4"/>
        <v>0.42412358635419883</v>
      </c>
      <c r="K14">
        <f t="shared" si="5"/>
        <v>0.14929621005971155</v>
      </c>
    </row>
    <row r="15" spans="1:16" x14ac:dyDescent="0.3">
      <c r="A15">
        <v>14</v>
      </c>
      <c r="B15" s="2">
        <v>10.199999999999999</v>
      </c>
      <c r="C15">
        <f t="shared" si="6"/>
        <v>9.9282351680598904</v>
      </c>
      <c r="D15">
        <f t="shared" si="0"/>
        <v>9.995000000000001</v>
      </c>
      <c r="E15">
        <f t="shared" si="1"/>
        <v>10.175625318951951</v>
      </c>
      <c r="F15">
        <f t="shared" si="2"/>
        <v>9.8143746810480508</v>
      </c>
      <c r="G15">
        <f t="shared" si="7"/>
        <v>8.5254840140760207E-2</v>
      </c>
      <c r="H15">
        <f t="shared" si="8"/>
        <v>0.29198431488824911</v>
      </c>
      <c r="I15">
        <f t="shared" si="3"/>
        <v>0.28741131355236316</v>
      </c>
      <c r="J15">
        <f t="shared" si="4"/>
        <v>0.42412358635419883</v>
      </c>
      <c r="K15">
        <f t="shared" si="5"/>
        <v>0.14929621005971155</v>
      </c>
    </row>
    <row r="16" spans="1:16" x14ac:dyDescent="0.3">
      <c r="A16">
        <v>15</v>
      </c>
      <c r="B16" s="2">
        <v>10.199999999999999</v>
      </c>
      <c r="C16">
        <f t="shared" si="6"/>
        <v>9.9554116512539004</v>
      </c>
      <c r="D16">
        <f t="shared" si="0"/>
        <v>9.995000000000001</v>
      </c>
      <c r="E16">
        <f t="shared" si="1"/>
        <v>10.176570473370179</v>
      </c>
      <c r="F16">
        <f t="shared" si="2"/>
        <v>9.8134295266298235</v>
      </c>
      <c r="G16">
        <f t="shared" si="7"/>
        <v>8.0931856126684118E-2</v>
      </c>
      <c r="H16">
        <f t="shared" si="8"/>
        <v>0.28448524764332528</v>
      </c>
      <c r="I16">
        <f t="shared" si="3"/>
        <v>0.28741131355236316</v>
      </c>
      <c r="J16">
        <f t="shared" si="4"/>
        <v>0.42412358635419883</v>
      </c>
      <c r="K16">
        <f t="shared" si="5"/>
        <v>0.14929621005971155</v>
      </c>
    </row>
    <row r="17" spans="1:11" x14ac:dyDescent="0.3">
      <c r="A17">
        <v>16</v>
      </c>
      <c r="B17" s="2">
        <v>10.3</v>
      </c>
      <c r="C17">
        <f t="shared" si="6"/>
        <v>9.9898704861285097</v>
      </c>
      <c r="D17">
        <f t="shared" si="0"/>
        <v>9.995000000000001</v>
      </c>
      <c r="E17">
        <f t="shared" si="1"/>
        <v>10.177332456990262</v>
      </c>
      <c r="F17">
        <f t="shared" si="2"/>
        <v>9.8126675430097396</v>
      </c>
      <c r="G17">
        <f t="shared" si="7"/>
        <v>8.2141170514015691E-2</v>
      </c>
      <c r="H17">
        <f t="shared" si="8"/>
        <v>0.28660280967571777</v>
      </c>
      <c r="I17">
        <f t="shared" si="3"/>
        <v>0.28741131355236316</v>
      </c>
      <c r="J17">
        <f t="shared" si="4"/>
        <v>0.42412358635419883</v>
      </c>
      <c r="K17">
        <f t="shared" si="5"/>
        <v>0.14929621005971155</v>
      </c>
    </row>
    <row r="18" spans="1:11" x14ac:dyDescent="0.3">
      <c r="A18">
        <v>17</v>
      </c>
      <c r="B18" s="2">
        <v>10.1</v>
      </c>
      <c r="C18">
        <f t="shared" si="6"/>
        <v>10.000883437515659</v>
      </c>
      <c r="D18">
        <f t="shared" si="0"/>
        <v>9.995000000000001</v>
      </c>
      <c r="E18">
        <f t="shared" si="1"/>
        <v>10.177947337260251</v>
      </c>
      <c r="F18">
        <f t="shared" si="2"/>
        <v>9.8120526627397506</v>
      </c>
      <c r="G18">
        <f t="shared" si="7"/>
        <v>7.5029553462614099E-2</v>
      </c>
      <c r="H18">
        <f t="shared" si="8"/>
        <v>0.27391523043199717</v>
      </c>
      <c r="I18">
        <f t="shared" si="3"/>
        <v>0.28741131355236316</v>
      </c>
      <c r="J18">
        <f t="shared" si="4"/>
        <v>0.42412358635419883</v>
      </c>
      <c r="K18">
        <f t="shared" si="5"/>
        <v>0.14929621005971155</v>
      </c>
    </row>
    <row r="19" spans="1:11" x14ac:dyDescent="0.3">
      <c r="A19">
        <v>18</v>
      </c>
      <c r="B19" s="2">
        <v>10.3</v>
      </c>
      <c r="C19">
        <f t="shared" si="6"/>
        <v>10.030795093764093</v>
      </c>
      <c r="D19">
        <f t="shared" si="0"/>
        <v>9.995000000000001</v>
      </c>
      <c r="E19">
        <f t="shared" si="1"/>
        <v>10.178443879469471</v>
      </c>
      <c r="F19">
        <f t="shared" si="2"/>
        <v>9.8115561205305308</v>
      </c>
      <c r="G19">
        <f t="shared" si="7"/>
        <v>7.6829098116352662E-2</v>
      </c>
      <c r="H19">
        <f t="shared" si="8"/>
        <v>0.27718062363078821</v>
      </c>
      <c r="I19">
        <f t="shared" si="3"/>
        <v>0.28741131355236316</v>
      </c>
      <c r="J19">
        <f t="shared" si="4"/>
        <v>0.42412358635419883</v>
      </c>
      <c r="K19">
        <f t="shared" si="5"/>
        <v>0.14929621005971155</v>
      </c>
    </row>
    <row r="20" spans="1:11" x14ac:dyDescent="0.3">
      <c r="A20">
        <v>19</v>
      </c>
      <c r="B20" s="2">
        <v>9.8000000000000007</v>
      </c>
      <c r="C20">
        <f t="shared" si="6"/>
        <v>10.007715584387684</v>
      </c>
      <c r="D20">
        <f t="shared" si="0"/>
        <v>9.995000000000001</v>
      </c>
      <c r="E20">
        <f t="shared" si="1"/>
        <v>10.178845095570175</v>
      </c>
      <c r="F20">
        <f t="shared" si="2"/>
        <v>9.8111549044298272</v>
      </c>
      <c r="G20">
        <f t="shared" si="7"/>
        <v>7.2948688304717416E-2</v>
      </c>
      <c r="H20">
        <f t="shared" si="8"/>
        <v>0.27009014847772106</v>
      </c>
      <c r="I20">
        <f t="shared" si="3"/>
        <v>0.28741131355236316</v>
      </c>
      <c r="J20">
        <f t="shared" si="4"/>
        <v>0.42412358635419883</v>
      </c>
      <c r="K20">
        <f t="shared" si="5"/>
        <v>0.14929621005971155</v>
      </c>
    </row>
    <row r="21" spans="1:11" x14ac:dyDescent="0.3">
      <c r="A21">
        <v>20</v>
      </c>
      <c r="B21" s="2">
        <v>10.1</v>
      </c>
      <c r="C21">
        <f t="shared" si="6"/>
        <v>10.016944025948916</v>
      </c>
      <c r="D21">
        <f t="shared" si="0"/>
        <v>9.995000000000001</v>
      </c>
      <c r="E21">
        <f t="shared" si="1"/>
        <v>10.179169439886286</v>
      </c>
      <c r="F21">
        <f t="shared" si="2"/>
        <v>9.8108305601137165</v>
      </c>
      <c r="G21">
        <f t="shared" si="7"/>
        <v>6.6756319474245651E-2</v>
      </c>
      <c r="H21">
        <f t="shared" si="8"/>
        <v>0.25837244333373799</v>
      </c>
      <c r="I21">
        <f t="shared" si="3"/>
        <v>0.28741131355236316</v>
      </c>
      <c r="J21">
        <f t="shared" si="4"/>
        <v>0.42412358635419883</v>
      </c>
      <c r="K21">
        <f t="shared" si="5"/>
        <v>0.14929621005971155</v>
      </c>
    </row>
    <row r="22" spans="1:11" x14ac:dyDescent="0.3">
      <c r="A22" s="2"/>
      <c r="B22" s="2"/>
    </row>
    <row r="23" spans="1:11" x14ac:dyDescent="0.3">
      <c r="A23" s="2"/>
      <c r="B23" s="2"/>
    </row>
    <row r="24" spans="1:11" x14ac:dyDescent="0.3">
      <c r="A24" s="2"/>
      <c r="B24" s="2"/>
    </row>
    <row r="25" spans="1:11" x14ac:dyDescent="0.3">
      <c r="A25" s="2"/>
      <c r="B25" s="2"/>
    </row>
    <row r="26" spans="1:11" x14ac:dyDescent="0.3">
      <c r="A26" s="2"/>
      <c r="B26" s="2"/>
    </row>
    <row r="27" spans="1:11" x14ac:dyDescent="0.3">
      <c r="A27" s="2"/>
      <c r="B27" s="2"/>
    </row>
    <row r="28" spans="1:11" x14ac:dyDescent="0.3">
      <c r="A28" s="2"/>
      <c r="B28" s="2"/>
    </row>
    <row r="29" spans="1:11" x14ac:dyDescent="0.3">
      <c r="A29" s="2"/>
      <c r="B29" s="2"/>
    </row>
    <row r="30" spans="1:11" x14ac:dyDescent="0.3">
      <c r="A30" s="2"/>
      <c r="B30" s="2"/>
    </row>
    <row r="31" spans="1:11" x14ac:dyDescent="0.3">
      <c r="A31" s="2"/>
      <c r="B31" s="2"/>
    </row>
    <row r="32" spans="1:11" x14ac:dyDescent="0.3">
      <c r="A32" s="2"/>
      <c r="B32" s="2"/>
    </row>
    <row r="33" spans="1:2" x14ac:dyDescent="0.3">
      <c r="A33" s="2"/>
      <c r="B33" s="2"/>
    </row>
    <row r="34" spans="1:2" x14ac:dyDescent="0.3">
      <c r="A34" s="2"/>
      <c r="B34" s="2"/>
    </row>
    <row r="35" spans="1:2" x14ac:dyDescent="0.3">
      <c r="A35" s="2"/>
      <c r="B35" s="2"/>
    </row>
    <row r="36" spans="1:2" x14ac:dyDescent="0.3">
      <c r="A36" s="2"/>
      <c r="B36" s="2"/>
    </row>
    <row r="37" spans="1:2" x14ac:dyDescent="0.3">
      <c r="A37" s="2"/>
      <c r="B37" s="2"/>
    </row>
    <row r="38" spans="1:2" x14ac:dyDescent="0.3">
      <c r="A38" s="2"/>
      <c r="B38" s="2"/>
    </row>
    <row r="39" spans="1:2" x14ac:dyDescent="0.3">
      <c r="A39" s="2"/>
      <c r="B39" s="2"/>
    </row>
    <row r="40" spans="1:2" x14ac:dyDescent="0.3">
      <c r="A40" s="2"/>
      <c r="B40" s="2"/>
    </row>
    <row r="41" spans="1:2" x14ac:dyDescent="0.3">
      <c r="A41" s="2"/>
      <c r="B41" s="2"/>
    </row>
    <row r="42" spans="1:2" x14ac:dyDescent="0.3">
      <c r="A42" s="2"/>
      <c r="B42" s="2"/>
    </row>
    <row r="43" spans="1:2" x14ac:dyDescent="0.3">
      <c r="A43" s="2"/>
      <c r="B43" s="2"/>
    </row>
    <row r="44" spans="1:2" x14ac:dyDescent="0.3">
      <c r="A44" s="2"/>
      <c r="B44" s="2"/>
    </row>
    <row r="45" spans="1:2" x14ac:dyDescent="0.3">
      <c r="A45" s="2"/>
      <c r="B45" s="2"/>
    </row>
    <row r="46" spans="1:2" x14ac:dyDescent="0.3">
      <c r="A46" s="2"/>
      <c r="B46" s="2"/>
    </row>
    <row r="47" spans="1:2" x14ac:dyDescent="0.3">
      <c r="A47" s="2"/>
      <c r="B47" s="2"/>
    </row>
    <row r="48" spans="1:2" x14ac:dyDescent="0.3">
      <c r="A48" s="2"/>
      <c r="B48" s="2"/>
    </row>
    <row r="49" spans="1:2" x14ac:dyDescent="0.3">
      <c r="A49" s="2"/>
      <c r="B49" s="2"/>
    </row>
    <row r="50" spans="1:2" x14ac:dyDescent="0.3">
      <c r="A50" s="2"/>
      <c r="B50" s="2"/>
    </row>
    <row r="51" spans="1:2" x14ac:dyDescent="0.3">
      <c r="A51" s="2"/>
      <c r="B51" s="2"/>
    </row>
    <row r="52" spans="1:2" x14ac:dyDescent="0.3">
      <c r="A52" s="2"/>
      <c r="B52" s="2"/>
    </row>
    <row r="53" spans="1:2" x14ac:dyDescent="0.3">
      <c r="A53" s="2"/>
      <c r="B53" s="2"/>
    </row>
    <row r="54" spans="1:2" x14ac:dyDescent="0.3">
      <c r="A54" s="2"/>
      <c r="B54" s="2"/>
    </row>
    <row r="55" spans="1:2" x14ac:dyDescent="0.3">
      <c r="A55" s="2"/>
      <c r="B55" s="2"/>
    </row>
    <row r="56" spans="1:2" x14ac:dyDescent="0.3">
      <c r="A56" s="2"/>
      <c r="B56" s="2"/>
    </row>
    <row r="57" spans="1:2" x14ac:dyDescent="0.3">
      <c r="A57" s="2"/>
      <c r="B57" s="2"/>
    </row>
    <row r="58" spans="1:2" x14ac:dyDescent="0.3">
      <c r="A58" s="2"/>
      <c r="B58" s="2"/>
    </row>
    <row r="59" spans="1:2" x14ac:dyDescent="0.3">
      <c r="A59" s="2"/>
      <c r="B59" s="2"/>
    </row>
    <row r="60" spans="1:2" x14ac:dyDescent="0.3">
      <c r="A60" s="2"/>
      <c r="B60" s="2"/>
    </row>
    <row r="61" spans="1:2" x14ac:dyDescent="0.3">
      <c r="A61" s="2"/>
      <c r="B61" s="2"/>
    </row>
    <row r="62" spans="1:2" x14ac:dyDescent="0.3">
      <c r="A62" s="2"/>
      <c r="B62" s="2"/>
    </row>
    <row r="63" spans="1:2" x14ac:dyDescent="0.3">
      <c r="A63" s="2"/>
      <c r="B63" s="2"/>
    </row>
    <row r="64" spans="1:2" x14ac:dyDescent="0.3">
      <c r="A64" s="2"/>
      <c r="B64" s="2"/>
    </row>
    <row r="65" spans="1:2" x14ac:dyDescent="0.3">
      <c r="A65" s="2"/>
      <c r="B65" s="2"/>
    </row>
    <row r="66" spans="1:2" x14ac:dyDescent="0.3">
      <c r="A66" s="2"/>
      <c r="B66" s="2"/>
    </row>
    <row r="67" spans="1:2" x14ac:dyDescent="0.3">
      <c r="A67" s="2"/>
      <c r="B67" s="2"/>
    </row>
    <row r="68" spans="1:2" x14ac:dyDescent="0.3">
      <c r="A68" s="2"/>
      <c r="B68" s="2"/>
    </row>
    <row r="69" spans="1:2" x14ac:dyDescent="0.3">
      <c r="A69" s="2"/>
      <c r="B69" s="2"/>
    </row>
    <row r="70" spans="1:2" x14ac:dyDescent="0.3">
      <c r="A70" s="2"/>
      <c r="B70" s="2"/>
    </row>
    <row r="71" spans="1:2" x14ac:dyDescent="0.3">
      <c r="A71" s="2"/>
      <c r="B71" s="2"/>
    </row>
    <row r="72" spans="1:2" x14ac:dyDescent="0.3">
      <c r="A72" s="2"/>
      <c r="B72" s="2"/>
    </row>
    <row r="73" spans="1:2" x14ac:dyDescent="0.3">
      <c r="A73" s="2"/>
      <c r="B73" s="2"/>
    </row>
    <row r="74" spans="1:2" x14ac:dyDescent="0.3">
      <c r="A74" s="2"/>
      <c r="B74" s="2"/>
    </row>
    <row r="75" spans="1:2" x14ac:dyDescent="0.3">
      <c r="A75" s="2"/>
      <c r="B75" s="2"/>
    </row>
    <row r="76" spans="1:2" x14ac:dyDescent="0.3">
      <c r="A76" s="2"/>
      <c r="B76" s="2"/>
    </row>
    <row r="77" spans="1:2" x14ac:dyDescent="0.3">
      <c r="A77" s="2"/>
      <c r="B77" s="2"/>
    </row>
    <row r="78" spans="1:2" x14ac:dyDescent="0.3">
      <c r="A78" s="2"/>
      <c r="B78" s="2"/>
    </row>
    <row r="79" spans="1:2" x14ac:dyDescent="0.3">
      <c r="A79" s="2"/>
      <c r="B79" s="2"/>
    </row>
    <row r="80" spans="1:2" x14ac:dyDescent="0.3">
      <c r="A80" s="2"/>
      <c r="B80" s="2"/>
    </row>
    <row r="81" spans="1:2" x14ac:dyDescent="0.3">
      <c r="A81" s="2"/>
      <c r="B81" s="2"/>
    </row>
    <row r="82" spans="1:2" x14ac:dyDescent="0.3">
      <c r="A82" s="2"/>
      <c r="B82" s="2"/>
    </row>
    <row r="83" spans="1:2" x14ac:dyDescent="0.3">
      <c r="A83" s="2"/>
      <c r="B83" s="2"/>
    </row>
    <row r="84" spans="1:2" x14ac:dyDescent="0.3">
      <c r="A84" s="2"/>
      <c r="B84" s="2"/>
    </row>
    <row r="85" spans="1:2" x14ac:dyDescent="0.3">
      <c r="A85" s="2"/>
      <c r="B85" s="2"/>
    </row>
    <row r="86" spans="1:2" x14ac:dyDescent="0.3">
      <c r="A86" s="2"/>
      <c r="B86" s="2"/>
    </row>
    <row r="87" spans="1:2" x14ac:dyDescent="0.3">
      <c r="A87" s="2"/>
      <c r="B87" s="2"/>
    </row>
    <row r="88" spans="1:2" x14ac:dyDescent="0.3">
      <c r="A88" s="2"/>
      <c r="B88" s="2"/>
    </row>
    <row r="89" spans="1:2" x14ac:dyDescent="0.3">
      <c r="A89" s="2"/>
      <c r="B89" s="2"/>
    </row>
    <row r="90" spans="1:2" x14ac:dyDescent="0.3">
      <c r="A90" s="2"/>
      <c r="B90" s="2"/>
    </row>
    <row r="91" spans="1:2" x14ac:dyDescent="0.3">
      <c r="A91" s="2"/>
      <c r="B91" s="2"/>
    </row>
    <row r="92" spans="1:2" x14ac:dyDescent="0.3">
      <c r="A92" s="2"/>
      <c r="B92" s="2"/>
    </row>
    <row r="93" spans="1:2" x14ac:dyDescent="0.3">
      <c r="A93" s="2"/>
      <c r="B93" s="2"/>
    </row>
    <row r="94" spans="1:2" x14ac:dyDescent="0.3">
      <c r="A94" s="2"/>
      <c r="B94" s="2"/>
    </row>
    <row r="95" spans="1:2" x14ac:dyDescent="0.3">
      <c r="A95" s="2"/>
      <c r="B95" s="2"/>
    </row>
    <row r="96" spans="1:2" x14ac:dyDescent="0.3">
      <c r="A96" s="2"/>
      <c r="B96" s="2"/>
    </row>
    <row r="97" spans="1:2" x14ac:dyDescent="0.3">
      <c r="A97" s="2"/>
      <c r="B97" s="2"/>
    </row>
    <row r="98" spans="1:2" x14ac:dyDescent="0.3">
      <c r="A98" s="2"/>
      <c r="B98" s="2"/>
    </row>
    <row r="99" spans="1:2" x14ac:dyDescent="0.3">
      <c r="A99" s="2"/>
      <c r="B99" s="2"/>
    </row>
    <row r="100" spans="1:2" x14ac:dyDescent="0.3">
      <c r="A100" s="2"/>
      <c r="B100" s="2"/>
    </row>
    <row r="101" spans="1:2" x14ac:dyDescent="0.3">
      <c r="A101" s="2"/>
      <c r="B101" s="2"/>
    </row>
    <row r="102" spans="1:2" x14ac:dyDescent="0.3">
      <c r="A102" s="2"/>
      <c r="B102" s="2"/>
    </row>
    <row r="103" spans="1:2" x14ac:dyDescent="0.3">
      <c r="A103" s="2"/>
      <c r="B103" s="2"/>
    </row>
    <row r="104" spans="1:2" x14ac:dyDescent="0.3">
      <c r="A104" s="2"/>
      <c r="B104" s="2"/>
    </row>
    <row r="105" spans="1:2" x14ac:dyDescent="0.3">
      <c r="A105" s="2"/>
      <c r="B105" s="2"/>
    </row>
    <row r="106" spans="1:2" x14ac:dyDescent="0.3">
      <c r="A106" s="2"/>
      <c r="B106" s="2"/>
    </row>
    <row r="107" spans="1:2" x14ac:dyDescent="0.3">
      <c r="A107" s="2"/>
      <c r="B107" s="2"/>
    </row>
    <row r="108" spans="1:2" x14ac:dyDescent="0.3">
      <c r="A108" s="2"/>
      <c r="B108" s="2"/>
    </row>
    <row r="109" spans="1:2" x14ac:dyDescent="0.3">
      <c r="A109" s="2"/>
      <c r="B109" s="2"/>
    </row>
    <row r="110" spans="1:2" x14ac:dyDescent="0.3">
      <c r="A110" s="2"/>
      <c r="B110" s="2"/>
    </row>
    <row r="111" spans="1:2" x14ac:dyDescent="0.3">
      <c r="A111" s="2"/>
      <c r="B111" s="2"/>
    </row>
    <row r="112" spans="1:2" x14ac:dyDescent="0.3">
      <c r="A112" s="2"/>
      <c r="B112" s="2"/>
    </row>
    <row r="113" spans="1:2" x14ac:dyDescent="0.3">
      <c r="A113" s="2"/>
      <c r="B113" s="2"/>
    </row>
    <row r="114" spans="1:2" x14ac:dyDescent="0.3">
      <c r="A114" s="2"/>
      <c r="B114" s="2"/>
    </row>
    <row r="115" spans="1:2" x14ac:dyDescent="0.3">
      <c r="A115" s="2"/>
      <c r="B115" s="2"/>
    </row>
    <row r="116" spans="1:2" x14ac:dyDescent="0.3">
      <c r="A116" s="2"/>
      <c r="B116" s="2"/>
    </row>
    <row r="117" spans="1:2" x14ac:dyDescent="0.3">
      <c r="A117" s="2"/>
      <c r="B117" s="2"/>
    </row>
    <row r="118" spans="1:2" x14ac:dyDescent="0.3">
      <c r="A118" s="2"/>
      <c r="B118" s="2"/>
    </row>
    <row r="119" spans="1:2" x14ac:dyDescent="0.3">
      <c r="A119" s="2"/>
      <c r="B119" s="2"/>
    </row>
    <row r="120" spans="1:2" x14ac:dyDescent="0.3">
      <c r="A120" s="2"/>
      <c r="B120" s="2"/>
    </row>
    <row r="121" spans="1:2" x14ac:dyDescent="0.3">
      <c r="A121" s="2"/>
      <c r="B121" s="2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279E0B-F702-4D4F-83CE-38451C94FE19}">
  <dimension ref="A1:P21"/>
  <sheetViews>
    <sheetView tabSelected="1" topLeftCell="H1" zoomScale="77" workbookViewId="0">
      <selection activeCell="Y28" sqref="Y28"/>
    </sheetView>
  </sheetViews>
  <sheetFormatPr defaultRowHeight="14.4" x14ac:dyDescent="0.3"/>
  <sheetData>
    <row r="1" spans="1:16" x14ac:dyDescent="0.3">
      <c r="A1" t="s">
        <v>3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19</v>
      </c>
      <c r="H1" t="s">
        <v>20</v>
      </c>
      <c r="I1" t="s">
        <v>14</v>
      </c>
      <c r="J1" t="s">
        <v>15</v>
      </c>
      <c r="K1" t="s">
        <v>16</v>
      </c>
      <c r="O1" t="s">
        <v>5</v>
      </c>
      <c r="P1">
        <v>6</v>
      </c>
    </row>
    <row r="2" spans="1:16" x14ac:dyDescent="0.3">
      <c r="A2">
        <v>1</v>
      </c>
      <c r="B2" s="2">
        <v>10.033333333333333</v>
      </c>
      <c r="C2">
        <f>$P$7*B2+(1-$P$7)*$P$4</f>
        <v>9.9520333333333344</v>
      </c>
      <c r="D2">
        <f>$P$4</f>
        <v>9.9429999999999996</v>
      </c>
      <c r="E2">
        <f>D2+$P$6*$P$5/SQRT($P$1)*SQRT(($P$7/(2-$P$7))*(1-(1-$P$7)^(2*A2)))</f>
        <v>9.9829441476692313</v>
      </c>
      <c r="F2">
        <f>D2-$P$6*$P$5/SQRT($P$1)*SQRT(($P$7/(2-$P$7))*(1-(1-$P$7)^(2*A2)))</f>
        <v>9.9030558523307679</v>
      </c>
      <c r="G2">
        <f>$P$7*(B2-$P$4)^2+(1-$P$7)*$P$5^2/$P$1</f>
        <v>1.8950304611111114E-2</v>
      </c>
      <c r="H2">
        <f>SQRT(G2)</f>
        <v>0.13766010537229409</v>
      </c>
      <c r="I2">
        <f>$P$5/SQRT($P$1)</f>
        <v>0.14194793059428518</v>
      </c>
      <c r="J2">
        <f>$P$5/SQRT($P$1)*SQRT(_xlfn.CHISQ.INV.RT($P$9/2,$P$8)/$P$8)</f>
        <v>0.20946797345970422</v>
      </c>
      <c r="K2">
        <f>$P$5/SQRT($P$1)*SQRT(_xlfn.CHISQ.INV.RT(1-($P$9/2),$P$8)/$P$8)</f>
        <v>7.3735051698599036E-2</v>
      </c>
      <c r="O2" t="s">
        <v>6</v>
      </c>
      <c r="P2">
        <v>7.0973965297142588E-2</v>
      </c>
    </row>
    <row r="3" spans="1:16" x14ac:dyDescent="0.3">
      <c r="A3">
        <v>2</v>
      </c>
      <c r="B3" s="2">
        <v>10</v>
      </c>
      <c r="C3">
        <f t="shared" ref="C3:C21" si="0">$P$7*B3+(1-$P$7)*C2</f>
        <v>9.9568300000000018</v>
      </c>
      <c r="D3">
        <f t="shared" ref="D3:D21" si="1">$P$4</f>
        <v>9.9429999999999996</v>
      </c>
      <c r="E3">
        <f t="shared" ref="E3:E21" si="2">D3+$P$6*$P$5/SQRT($P$1)*SQRT(($P$7/(2-$P$7))*(1-(1-$P$7)^(2*A3)))</f>
        <v>9.9967393545622638</v>
      </c>
      <c r="F3">
        <f t="shared" ref="F3:F21" si="3">D3-$P$6*$P$5/SQRT($P$1)*SQRT(($P$7/(2-$P$7))*(1-(1-$P$7)^(2*A3)))</f>
        <v>9.8892606454377354</v>
      </c>
      <c r="G3">
        <f t="shared" ref="G3:G21" si="4">$P$7*(B3-$P$4)^2+(1-$P$7)*$P$5^2/$P$1</f>
        <v>1.8459193500000002E-2</v>
      </c>
      <c r="H3">
        <f t="shared" ref="H3:H21" si="5">SQRT(G3)</f>
        <v>0.13586461459850391</v>
      </c>
      <c r="I3">
        <f t="shared" ref="I3:I21" si="6">$P$5/SQRT($P$1)</f>
        <v>0.14194793059428518</v>
      </c>
      <c r="J3">
        <f t="shared" ref="J3:J21" si="7">$P$5/SQRT($P$1)*SQRT(_xlfn.CHISQ.INV.RT($P$9/2,$P$8)/$P$8)</f>
        <v>0.20946797345970422</v>
      </c>
      <c r="K3">
        <f t="shared" ref="K3:K21" si="8">$P$5/SQRT($P$1)*SQRT(_xlfn.CHISQ.INV.RT(1-($P$9/2),$P$8)/$P$8)</f>
        <v>7.3735051698599036E-2</v>
      </c>
      <c r="O3" t="s">
        <v>7</v>
      </c>
      <c r="P3">
        <v>0.67709162893474029</v>
      </c>
    </row>
    <row r="4" spans="1:16" x14ac:dyDescent="0.3">
      <c r="A4">
        <v>3</v>
      </c>
      <c r="B4" s="2">
        <v>9.9166666666666661</v>
      </c>
      <c r="C4">
        <f t="shared" si="0"/>
        <v>9.9528136666666693</v>
      </c>
      <c r="D4">
        <f t="shared" si="1"/>
        <v>9.9429999999999996</v>
      </c>
      <c r="E4">
        <f t="shared" si="2"/>
        <v>10.005727575262592</v>
      </c>
      <c r="F4">
        <f t="shared" si="3"/>
        <v>9.8802724247374076</v>
      </c>
      <c r="G4">
        <f t="shared" si="4"/>
        <v>1.8203637944444444E-2</v>
      </c>
      <c r="H4">
        <f t="shared" si="5"/>
        <v>0.13492085807777998</v>
      </c>
      <c r="I4">
        <f t="shared" si="6"/>
        <v>0.14194793059428518</v>
      </c>
      <c r="J4">
        <f t="shared" si="7"/>
        <v>0.20946797345970422</v>
      </c>
      <c r="K4">
        <f t="shared" si="8"/>
        <v>7.3735051698599036E-2</v>
      </c>
      <c r="O4" t="s">
        <v>8</v>
      </c>
      <c r="P4">
        <v>9.9429999999999996</v>
      </c>
    </row>
    <row r="5" spans="1:16" x14ac:dyDescent="0.3">
      <c r="A5">
        <v>4</v>
      </c>
      <c r="B5" s="2">
        <v>10.083333333333334</v>
      </c>
      <c r="C5">
        <f t="shared" si="0"/>
        <v>9.9658656333333351</v>
      </c>
      <c r="D5">
        <f t="shared" si="1"/>
        <v>9.9429999999999996</v>
      </c>
      <c r="E5">
        <f t="shared" si="2"/>
        <v>10.012156932976122</v>
      </c>
      <c r="F5">
        <f t="shared" si="3"/>
        <v>9.873843067023877</v>
      </c>
      <c r="G5">
        <f t="shared" si="4"/>
        <v>2.0103637944444471E-2</v>
      </c>
      <c r="H5">
        <f t="shared" si="5"/>
        <v>0.14178729824791947</v>
      </c>
      <c r="I5">
        <f t="shared" si="6"/>
        <v>0.14194793059428518</v>
      </c>
      <c r="J5">
        <f t="shared" si="7"/>
        <v>0.20946797345970422</v>
      </c>
      <c r="K5">
        <f t="shared" si="8"/>
        <v>7.3735051698599036E-2</v>
      </c>
      <c r="O5" t="s">
        <v>9</v>
      </c>
      <c r="P5">
        <v>0.34770000000000001</v>
      </c>
    </row>
    <row r="6" spans="1:16" x14ac:dyDescent="0.3">
      <c r="A6">
        <v>5</v>
      </c>
      <c r="B6" s="2">
        <v>10.066666666666666</v>
      </c>
      <c r="C6">
        <f t="shared" si="0"/>
        <v>9.9759457366666684</v>
      </c>
      <c r="D6">
        <f t="shared" si="1"/>
        <v>9.9429999999999996</v>
      </c>
      <c r="E6">
        <f t="shared" si="2"/>
        <v>10.016956114349924</v>
      </c>
      <c r="F6">
        <f t="shared" si="3"/>
        <v>9.8690438856500755</v>
      </c>
      <c r="G6">
        <f t="shared" si="4"/>
        <v>1.9663637944444447E-2</v>
      </c>
      <c r="H6">
        <f t="shared" si="5"/>
        <v>0.14022709418812204</v>
      </c>
      <c r="I6">
        <f t="shared" si="6"/>
        <v>0.14194793059428518</v>
      </c>
      <c r="J6">
        <f t="shared" si="7"/>
        <v>0.20946797345970422</v>
      </c>
      <c r="K6">
        <f t="shared" si="8"/>
        <v>7.3735051698599036E-2</v>
      </c>
      <c r="O6" t="s">
        <v>10</v>
      </c>
      <c r="P6">
        <v>2.8140000000000001</v>
      </c>
    </row>
    <row r="7" spans="1:16" x14ac:dyDescent="0.3">
      <c r="A7">
        <v>6</v>
      </c>
      <c r="B7" s="2">
        <v>9.8166666666666664</v>
      </c>
      <c r="C7">
        <f t="shared" si="0"/>
        <v>9.9600178296666684</v>
      </c>
      <c r="D7">
        <f t="shared" si="1"/>
        <v>9.9429999999999996</v>
      </c>
      <c r="E7">
        <f t="shared" si="2"/>
        <v>10.020626255102961</v>
      </c>
      <c r="F7">
        <f t="shared" si="3"/>
        <v>9.8653737448970382</v>
      </c>
      <c r="G7">
        <f t="shared" si="4"/>
        <v>1.9730304611111107E-2</v>
      </c>
      <c r="H7">
        <f t="shared" si="5"/>
        <v>0.14046460269801467</v>
      </c>
      <c r="I7">
        <f t="shared" si="6"/>
        <v>0.14194793059428518</v>
      </c>
      <c r="J7">
        <f t="shared" si="7"/>
        <v>0.20946797345970422</v>
      </c>
      <c r="K7">
        <f t="shared" si="8"/>
        <v>7.3735051698599036E-2</v>
      </c>
      <c r="O7" t="s">
        <v>11</v>
      </c>
      <c r="P7">
        <v>0.1</v>
      </c>
    </row>
    <row r="8" spans="1:16" x14ac:dyDescent="0.3">
      <c r="A8">
        <v>7</v>
      </c>
      <c r="B8" s="2">
        <v>9.7766666666666655</v>
      </c>
      <c r="C8">
        <f t="shared" si="0"/>
        <v>9.9416827133666672</v>
      </c>
      <c r="D8">
        <f t="shared" si="1"/>
        <v>9.9429999999999996</v>
      </c>
      <c r="E8">
        <f t="shared" si="2"/>
        <v>10.023476466578016</v>
      </c>
      <c r="F8">
        <f t="shared" si="3"/>
        <v>9.8625235334219834</v>
      </c>
      <c r="G8">
        <f t="shared" si="4"/>
        <v>2.0900971277777802E-2</v>
      </c>
      <c r="H8">
        <f t="shared" si="5"/>
        <v>0.14457168214341909</v>
      </c>
      <c r="I8">
        <f t="shared" si="6"/>
        <v>0.14194793059428518</v>
      </c>
      <c r="J8">
        <f t="shared" si="7"/>
        <v>0.20946797345970422</v>
      </c>
      <c r="K8">
        <f t="shared" si="8"/>
        <v>7.3735051698599036E-2</v>
      </c>
      <c r="O8" t="s">
        <v>17</v>
      </c>
      <c r="P8">
        <f>(2-P7)/P7</f>
        <v>18.999999999999996</v>
      </c>
    </row>
    <row r="9" spans="1:16" x14ac:dyDescent="0.3">
      <c r="A9">
        <v>8</v>
      </c>
      <c r="B9" s="2">
        <v>9.7000000000000011</v>
      </c>
      <c r="C9">
        <f t="shared" si="0"/>
        <v>9.9175144420300008</v>
      </c>
      <c r="D9">
        <f t="shared" si="1"/>
        <v>9.9429999999999996</v>
      </c>
      <c r="E9">
        <f t="shared" si="2"/>
        <v>10.025713172397486</v>
      </c>
      <c r="F9">
        <f t="shared" si="3"/>
        <v>9.8602868276025131</v>
      </c>
      <c r="G9">
        <f t="shared" si="4"/>
        <v>2.4039193499999931E-2</v>
      </c>
      <c r="H9">
        <f t="shared" si="5"/>
        <v>0.15504577872357547</v>
      </c>
      <c r="I9">
        <f t="shared" si="6"/>
        <v>0.14194793059428518</v>
      </c>
      <c r="J9">
        <f t="shared" si="7"/>
        <v>0.20946797345970422</v>
      </c>
      <c r="K9">
        <f t="shared" si="8"/>
        <v>7.3735051698599036E-2</v>
      </c>
      <c r="O9" t="s">
        <v>18</v>
      </c>
      <c r="P9">
        <f>1/370</f>
        <v>2.7027027027027029E-3</v>
      </c>
    </row>
    <row r="10" spans="1:16" x14ac:dyDescent="0.3">
      <c r="A10">
        <v>9</v>
      </c>
      <c r="B10" s="2">
        <v>10.200000000000001</v>
      </c>
      <c r="C10">
        <f t="shared" si="0"/>
        <v>9.9457629978269999</v>
      </c>
      <c r="D10">
        <f t="shared" si="1"/>
        <v>9.9429999999999996</v>
      </c>
      <c r="E10">
        <f t="shared" si="2"/>
        <v>10.027481505268</v>
      </c>
      <c r="F10">
        <f t="shared" si="3"/>
        <v>9.8585184947319995</v>
      </c>
      <c r="G10">
        <f t="shared" si="4"/>
        <v>2.4739193500000076E-2</v>
      </c>
      <c r="H10">
        <f t="shared" si="5"/>
        <v>0.1572869781641191</v>
      </c>
      <c r="I10">
        <f t="shared" si="6"/>
        <v>0.14194793059428518</v>
      </c>
      <c r="J10">
        <f t="shared" si="7"/>
        <v>0.20946797345970422</v>
      </c>
      <c r="K10">
        <f t="shared" si="8"/>
        <v>7.3735051698599036E-2</v>
      </c>
    </row>
    <row r="11" spans="1:16" x14ac:dyDescent="0.3">
      <c r="A11">
        <v>10</v>
      </c>
      <c r="B11" s="2">
        <v>10</v>
      </c>
      <c r="C11">
        <f t="shared" si="0"/>
        <v>9.9511866980442996</v>
      </c>
      <c r="D11">
        <f t="shared" si="1"/>
        <v>9.9429999999999996</v>
      </c>
      <c r="E11">
        <f t="shared" si="2"/>
        <v>10.028887169974464</v>
      </c>
      <c r="F11">
        <f t="shared" si="3"/>
        <v>9.8571128300255353</v>
      </c>
      <c r="G11">
        <f t="shared" si="4"/>
        <v>1.8459193500000002E-2</v>
      </c>
      <c r="H11">
        <f t="shared" si="5"/>
        <v>0.13586461459850391</v>
      </c>
      <c r="I11">
        <f t="shared" si="6"/>
        <v>0.14194793059428518</v>
      </c>
      <c r="J11">
        <f t="shared" si="7"/>
        <v>0.20946797345970422</v>
      </c>
      <c r="K11">
        <f t="shared" si="8"/>
        <v>7.3735051698599036E-2</v>
      </c>
    </row>
    <row r="12" spans="1:16" x14ac:dyDescent="0.3">
      <c r="A12">
        <v>11</v>
      </c>
      <c r="B12" s="2">
        <v>10</v>
      </c>
      <c r="C12">
        <f t="shared" si="0"/>
        <v>9.9560680282398692</v>
      </c>
      <c r="D12">
        <f t="shared" si="1"/>
        <v>9.9429999999999996</v>
      </c>
      <c r="E12">
        <f t="shared" si="2"/>
        <v>10.030009113118464</v>
      </c>
      <c r="F12">
        <f t="shared" si="3"/>
        <v>9.8559908868815356</v>
      </c>
      <c r="G12">
        <f t="shared" si="4"/>
        <v>1.8459193500000002E-2</v>
      </c>
      <c r="H12">
        <f t="shared" si="5"/>
        <v>0.13586461459850391</v>
      </c>
      <c r="I12">
        <f t="shared" si="6"/>
        <v>0.14194793059428518</v>
      </c>
      <c r="J12">
        <f t="shared" si="7"/>
        <v>0.20946797345970422</v>
      </c>
      <c r="K12">
        <f t="shared" si="8"/>
        <v>7.3735051698599036E-2</v>
      </c>
    </row>
    <row r="13" spans="1:16" x14ac:dyDescent="0.3">
      <c r="A13">
        <v>12</v>
      </c>
      <c r="B13" s="2">
        <v>9.8666666666666671</v>
      </c>
      <c r="C13">
        <f t="shared" si="0"/>
        <v>9.9471278920825483</v>
      </c>
      <c r="D13">
        <f t="shared" si="1"/>
        <v>9.9429999999999996</v>
      </c>
      <c r="E13">
        <f t="shared" si="2"/>
        <v>10.030907391061316</v>
      </c>
      <c r="F13">
        <f t="shared" si="3"/>
        <v>9.8550926089386834</v>
      </c>
      <c r="G13">
        <f t="shared" si="4"/>
        <v>1.8716971277777765E-2</v>
      </c>
      <c r="H13">
        <f t="shared" si="5"/>
        <v>0.1368099823762059</v>
      </c>
      <c r="I13">
        <f t="shared" si="6"/>
        <v>0.14194793059428518</v>
      </c>
      <c r="J13">
        <f t="shared" si="7"/>
        <v>0.20946797345970422</v>
      </c>
      <c r="K13">
        <f t="shared" si="8"/>
        <v>7.3735051698599036E-2</v>
      </c>
    </row>
    <row r="14" spans="1:16" x14ac:dyDescent="0.3">
      <c r="A14">
        <v>13</v>
      </c>
      <c r="B14" s="2">
        <v>9.9166666666666661</v>
      </c>
      <c r="C14">
        <f t="shared" si="0"/>
        <v>9.9440817695409613</v>
      </c>
      <c r="D14">
        <f t="shared" si="1"/>
        <v>9.9429999999999996</v>
      </c>
      <c r="E14">
        <f t="shared" si="2"/>
        <v>10.031628322502568</v>
      </c>
      <c r="F14">
        <f t="shared" si="3"/>
        <v>9.854371677497431</v>
      </c>
      <c r="G14">
        <f t="shared" si="4"/>
        <v>1.8203637944444444E-2</v>
      </c>
      <c r="H14">
        <f t="shared" si="5"/>
        <v>0.13492085807777998</v>
      </c>
      <c r="I14">
        <f t="shared" si="6"/>
        <v>0.14194793059428518</v>
      </c>
      <c r="J14">
        <f t="shared" si="7"/>
        <v>0.20946797345970422</v>
      </c>
      <c r="K14">
        <f t="shared" si="8"/>
        <v>7.3735051698599036E-2</v>
      </c>
    </row>
    <row r="15" spans="1:16" x14ac:dyDescent="0.3">
      <c r="A15">
        <v>14</v>
      </c>
      <c r="B15" s="2">
        <v>9.8833333333333329</v>
      </c>
      <c r="C15">
        <f t="shared" si="0"/>
        <v>9.9380069259201989</v>
      </c>
      <c r="D15">
        <f t="shared" si="1"/>
        <v>9.9429999999999996</v>
      </c>
      <c r="E15">
        <f t="shared" si="2"/>
        <v>10.032208006188979</v>
      </c>
      <c r="F15">
        <f t="shared" si="3"/>
        <v>9.8537919938110203</v>
      </c>
      <c r="G15">
        <f t="shared" si="4"/>
        <v>1.8490304611111112E-2</v>
      </c>
      <c r="H15">
        <f t="shared" si="5"/>
        <v>0.13597905945810596</v>
      </c>
      <c r="I15">
        <f t="shared" si="6"/>
        <v>0.14194793059428518</v>
      </c>
      <c r="J15">
        <f t="shared" si="7"/>
        <v>0.20946797345970422</v>
      </c>
      <c r="K15">
        <f t="shared" si="8"/>
        <v>7.3735051698599036E-2</v>
      </c>
    </row>
    <row r="16" spans="1:16" x14ac:dyDescent="0.3">
      <c r="A16">
        <v>15</v>
      </c>
      <c r="B16" s="2">
        <v>9.75</v>
      </c>
      <c r="C16">
        <f t="shared" si="0"/>
        <v>9.919206233328179</v>
      </c>
      <c r="D16">
        <f t="shared" si="1"/>
        <v>9.9429999999999996</v>
      </c>
      <c r="E16">
        <f t="shared" si="2"/>
        <v>10.032674803101395</v>
      </c>
      <c r="F16">
        <f t="shared" si="3"/>
        <v>9.853325196898604</v>
      </c>
      <c r="G16">
        <f t="shared" si="4"/>
        <v>2.1859193499999985E-2</v>
      </c>
      <c r="H16">
        <f t="shared" si="5"/>
        <v>0.14784854919815746</v>
      </c>
      <c r="I16">
        <f t="shared" si="6"/>
        <v>0.14194793059428518</v>
      </c>
      <c r="J16">
        <f t="shared" si="7"/>
        <v>0.20946797345970422</v>
      </c>
      <c r="K16">
        <f t="shared" si="8"/>
        <v>7.3735051698599036E-2</v>
      </c>
    </row>
    <row r="17" spans="1:11" x14ac:dyDescent="0.3">
      <c r="A17">
        <v>16</v>
      </c>
      <c r="B17" s="2">
        <v>10.1</v>
      </c>
      <c r="C17">
        <f t="shared" si="0"/>
        <v>9.9372856099953619</v>
      </c>
      <c r="D17">
        <f t="shared" si="1"/>
        <v>9.9429999999999996</v>
      </c>
      <c r="E17">
        <f t="shared" si="2"/>
        <v>10.033051134835455</v>
      </c>
      <c r="F17">
        <f t="shared" si="3"/>
        <v>9.852948865164544</v>
      </c>
      <c r="G17">
        <f t="shared" si="4"/>
        <v>2.0599193500000001E-2</v>
      </c>
      <c r="H17">
        <f t="shared" si="5"/>
        <v>0.1435241913406935</v>
      </c>
      <c r="I17">
        <f t="shared" si="6"/>
        <v>0.14194793059428518</v>
      </c>
      <c r="J17">
        <f t="shared" si="7"/>
        <v>0.20946797345970422</v>
      </c>
      <c r="K17">
        <f t="shared" si="8"/>
        <v>7.3735051698599036E-2</v>
      </c>
    </row>
    <row r="18" spans="1:11" x14ac:dyDescent="0.3">
      <c r="A18">
        <v>17</v>
      </c>
      <c r="B18" s="2">
        <v>9.9333333333333318</v>
      </c>
      <c r="C18">
        <f t="shared" si="0"/>
        <v>9.9368903823291603</v>
      </c>
      <c r="D18">
        <f t="shared" si="1"/>
        <v>9.9429999999999996</v>
      </c>
      <c r="E18">
        <f t="shared" si="2"/>
        <v>10.033354814536889</v>
      </c>
      <c r="F18">
        <f t="shared" si="3"/>
        <v>9.8526451854631105</v>
      </c>
      <c r="G18">
        <f t="shared" si="4"/>
        <v>1.8143637944444447E-2</v>
      </c>
      <c r="H18">
        <f t="shared" si="5"/>
        <v>0.13469832198080436</v>
      </c>
      <c r="I18">
        <f t="shared" si="6"/>
        <v>0.14194793059428518</v>
      </c>
      <c r="J18">
        <f t="shared" si="7"/>
        <v>0.20946797345970422</v>
      </c>
      <c r="K18">
        <f t="shared" si="8"/>
        <v>7.3735051698599036E-2</v>
      </c>
    </row>
    <row r="19" spans="1:11" x14ac:dyDescent="0.3">
      <c r="A19">
        <v>18</v>
      </c>
      <c r="B19" s="2">
        <v>9.8833333333333329</v>
      </c>
      <c r="C19">
        <f t="shared" si="0"/>
        <v>9.9315346774295783</v>
      </c>
      <c r="D19">
        <f t="shared" si="1"/>
        <v>9.9429999999999996</v>
      </c>
      <c r="E19">
        <f t="shared" si="2"/>
        <v>10.033600048929996</v>
      </c>
      <c r="F19">
        <f t="shared" si="3"/>
        <v>9.8523999510700033</v>
      </c>
      <c r="G19">
        <f t="shared" si="4"/>
        <v>1.8490304611111112E-2</v>
      </c>
      <c r="H19">
        <f t="shared" si="5"/>
        <v>0.13597905945810596</v>
      </c>
      <c r="I19">
        <f t="shared" si="6"/>
        <v>0.14194793059428518</v>
      </c>
      <c r="J19">
        <f t="shared" si="7"/>
        <v>0.20946797345970422</v>
      </c>
      <c r="K19">
        <f t="shared" si="8"/>
        <v>7.3735051698599036E-2</v>
      </c>
    </row>
    <row r="20" spans="1:11" x14ac:dyDescent="0.3">
      <c r="A20">
        <v>19</v>
      </c>
      <c r="B20" s="2">
        <v>10.1</v>
      </c>
      <c r="C20">
        <f t="shared" si="0"/>
        <v>9.9483812096866213</v>
      </c>
      <c r="D20">
        <f t="shared" si="1"/>
        <v>9.9429999999999996</v>
      </c>
      <c r="E20">
        <f t="shared" si="2"/>
        <v>10.033798203256325</v>
      </c>
      <c r="F20">
        <f t="shared" si="3"/>
        <v>9.8522017967436746</v>
      </c>
      <c r="G20">
        <f t="shared" si="4"/>
        <v>2.0599193500000001E-2</v>
      </c>
      <c r="H20">
        <f t="shared" si="5"/>
        <v>0.1435241913406935</v>
      </c>
      <c r="I20">
        <f t="shared" si="6"/>
        <v>0.14194793059428518</v>
      </c>
      <c r="J20">
        <f t="shared" si="7"/>
        <v>0.20946797345970422</v>
      </c>
      <c r="K20">
        <f t="shared" si="8"/>
        <v>7.3735051698599036E-2</v>
      </c>
    </row>
    <row r="21" spans="1:11" x14ac:dyDescent="0.3">
      <c r="A21">
        <v>20</v>
      </c>
      <c r="B21" s="2">
        <v>9.8333333333333321</v>
      </c>
      <c r="C21">
        <f t="shared" si="0"/>
        <v>9.9368764220512915</v>
      </c>
      <c r="D21">
        <f t="shared" si="1"/>
        <v>9.9429999999999996</v>
      </c>
      <c r="E21">
        <f t="shared" si="2"/>
        <v>10.033958391816416</v>
      </c>
      <c r="F21">
        <f t="shared" si="3"/>
        <v>9.8520416081835833</v>
      </c>
      <c r="G21">
        <f t="shared" si="4"/>
        <v>1.9336971277777795E-2</v>
      </c>
      <c r="H21">
        <f t="shared" si="5"/>
        <v>0.13905743877181759</v>
      </c>
      <c r="I21">
        <f t="shared" si="6"/>
        <v>0.14194793059428518</v>
      </c>
      <c r="J21">
        <f t="shared" si="7"/>
        <v>0.20946797345970422</v>
      </c>
      <c r="K21">
        <f t="shared" si="8"/>
        <v>7.3735051698599036E-2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 Data</vt:lpstr>
      <vt:lpstr>n=1</vt:lpstr>
      <vt:lpstr>n&gt;1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Kylie Abela</dc:creator>
  <cp:lastModifiedBy>Kylie Abela</cp:lastModifiedBy>
  <dcterms:created xsi:type="dcterms:W3CDTF">2023-04-13T21:48:06Z</dcterms:created>
  <dcterms:modified xsi:type="dcterms:W3CDTF">2023-04-14T19:46:06Z</dcterms:modified>
</cp:coreProperties>
</file>