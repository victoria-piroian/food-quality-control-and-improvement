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kylie\Desktop\"/>
    </mc:Choice>
  </mc:AlternateContent>
  <xr:revisionPtr revIDLastSave="0" documentId="13_ncr:1_{8BFF1385-2E4C-46E9-AEF6-9CE5786F46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X-bar S^2 Chart" sheetId="2" r:id="rId1"/>
  </sheets>
  <calcPr calcId="191029"/>
  <customWorkbookViews>
    <customWorkbookView name="Filter 1" guid="{949F4935-407C-46AC-A277-C21A93DD081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23" i="2" s="1"/>
  <c r="G21" i="2"/>
  <c r="H21" i="2" s="1"/>
  <c r="G20" i="2"/>
  <c r="H20" i="2" s="1"/>
  <c r="G19" i="2"/>
  <c r="H19" i="2" s="1"/>
  <c r="G18" i="2"/>
  <c r="H18" i="2" s="1"/>
  <c r="H17" i="2"/>
  <c r="G17" i="2"/>
  <c r="G16" i="2"/>
  <c r="H16" i="2" s="1"/>
  <c r="G15" i="2"/>
  <c r="H15" i="2" s="1"/>
  <c r="G14" i="2"/>
  <c r="H14" i="2" s="1"/>
  <c r="H13" i="2"/>
  <c r="G13" i="2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H2" i="2"/>
  <c r="G2" i="2"/>
  <c r="H23" i="2" l="1"/>
  <c r="H27" i="2" s="1"/>
  <c r="H34" i="2"/>
  <c r="H32" i="2"/>
  <c r="H33" i="2"/>
  <c r="H26" i="2"/>
  <c r="H25" i="2"/>
</calcChain>
</file>

<file path=xl/sharedStrings.xml><?xml version="1.0" encoding="utf-8"?>
<sst xmlns="http://schemas.openxmlformats.org/spreadsheetml/2006/main" count="22" uniqueCount="12">
  <si>
    <t>Length of Pretzel (cm)</t>
  </si>
  <si>
    <t>S^2</t>
  </si>
  <si>
    <t>LCL</t>
  </si>
  <si>
    <t>CL</t>
  </si>
  <si>
    <t>UCL</t>
  </si>
  <si>
    <t xml:space="preserve">Xbar </t>
  </si>
  <si>
    <t>Xbar</t>
  </si>
  <si>
    <t>S-bar^2 Train</t>
  </si>
  <si>
    <t>X-bar-bar Train</t>
  </si>
  <si>
    <t>Observation</t>
  </si>
  <si>
    <t>Sample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</si>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</sst>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S^2 Chart of Length of Pretzel Training Set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'X-bar S^2 Chart'!$H$2:$H$11</c:f>
              <c:numCache>
                <c:formatCode>General</c:formatCode>
                <c:ptCount val="10"/>
                <c:pt idx="0">
                  <c:v>7.8666666666666801E-2</c:v>
                </c:pt>
                <c:pt idx="1">
                  <c:v>0.29199999999999982</c:v>
                </c:pt>
                <c:pt idx="2">
                  <c:v>6.5666666666666929E-2</c:v>
                </c:pt>
                <c:pt idx="3">
                  <c:v>5.6666666666666263E-3</c:v>
                </c:pt>
                <c:pt idx="4">
                  <c:v>8.6666666666666808E-2</c:v>
                </c:pt>
                <c:pt idx="5">
                  <c:v>0.2416666666666667</c:v>
                </c:pt>
                <c:pt idx="6">
                  <c:v>0.24566666666666662</c:v>
                </c:pt>
                <c:pt idx="7">
                  <c:v>4.399999999999997E-2</c:v>
                </c:pt>
                <c:pt idx="8">
                  <c:v>8.8000000000000217E-2</c:v>
                </c:pt>
                <c:pt idx="9">
                  <c:v>0.13999999999999993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8-45CF-83A8-BAA57A5E5048}"/>
            </c:ext>
          </c:extLst>
        </c:ser>
        <c:ser>
          <c:idx val="1"/>
          <c:order val="1"/>
          <c:tx>
            <c:v>LCL = 0.0659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Chart'!$I$2:$I$11</c:f>
              <c:numCache>
                <c:formatCode>General</c:formatCode>
                <c:ptCount val="10"/>
                <c:pt idx="0">
                  <c:v>6.8582698999999997E-2</c:v>
                </c:pt>
                <c:pt idx="1">
                  <c:v>6.8582698999999997E-2</c:v>
                </c:pt>
                <c:pt idx="2">
                  <c:v>6.8582698999999997E-2</c:v>
                </c:pt>
                <c:pt idx="3">
                  <c:v>6.8582698999999997E-2</c:v>
                </c:pt>
                <c:pt idx="4">
                  <c:v>6.8582698999999997E-2</c:v>
                </c:pt>
                <c:pt idx="5">
                  <c:v>6.8582698999999997E-2</c:v>
                </c:pt>
                <c:pt idx="6">
                  <c:v>6.8582698999999997E-2</c:v>
                </c:pt>
                <c:pt idx="7">
                  <c:v>6.8582698999999997E-2</c:v>
                </c:pt>
                <c:pt idx="8">
                  <c:v>6.8582698999999997E-2</c:v>
                </c:pt>
                <c:pt idx="9">
                  <c:v>6.8582698999999997E-2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8-45CF-83A8-BAA57A5E5048}"/>
            </c:ext>
          </c:extLst>
        </c:ser>
        <c:ser>
          <c:idx val="2"/>
          <c:order val="2"/>
          <c:tx>
            <c:v>CL = 0.1238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Chart'!$J$2:$J$11</c:f>
              <c:numCache>
                <c:formatCode>General</c:formatCode>
                <c:ptCount val="10"/>
                <c:pt idx="0">
                  <c:v>0.1288</c:v>
                </c:pt>
                <c:pt idx="1">
                  <c:v>0.1288</c:v>
                </c:pt>
                <c:pt idx="2">
                  <c:v>0.1288</c:v>
                </c:pt>
                <c:pt idx="3">
                  <c:v>0.1288</c:v>
                </c:pt>
                <c:pt idx="4">
                  <c:v>0.1288</c:v>
                </c:pt>
                <c:pt idx="5">
                  <c:v>0.1288</c:v>
                </c:pt>
                <c:pt idx="6">
                  <c:v>0.1288</c:v>
                </c:pt>
                <c:pt idx="7">
                  <c:v>0.1288</c:v>
                </c:pt>
                <c:pt idx="8">
                  <c:v>0.1288</c:v>
                </c:pt>
                <c:pt idx="9">
                  <c:v>0.1288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B8-45CF-83A8-BAA57A5E5048}"/>
            </c:ext>
          </c:extLst>
        </c:ser>
        <c:ser>
          <c:idx val="3"/>
          <c:order val="3"/>
          <c:tx>
            <c:v>UCL = 0.1964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Chart'!$K$2:$K$11</c:f>
              <c:numCache>
                <c:formatCode>General</c:formatCode>
                <c:ptCount val="10"/>
                <c:pt idx="0">
                  <c:v>0.20434138399999999</c:v>
                </c:pt>
                <c:pt idx="1">
                  <c:v>0.20434138399999999</c:v>
                </c:pt>
                <c:pt idx="2">
                  <c:v>0.20434138399999999</c:v>
                </c:pt>
                <c:pt idx="3">
                  <c:v>0.20434138399999999</c:v>
                </c:pt>
                <c:pt idx="4">
                  <c:v>0.20434138399999999</c:v>
                </c:pt>
                <c:pt idx="5">
                  <c:v>0.20434138399999999</c:v>
                </c:pt>
                <c:pt idx="6">
                  <c:v>0.20434138399999999</c:v>
                </c:pt>
                <c:pt idx="7">
                  <c:v>0.20434138399999999</c:v>
                </c:pt>
                <c:pt idx="8">
                  <c:v>0.20434138399999999</c:v>
                </c:pt>
                <c:pt idx="9">
                  <c:v>0.20434138399999999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B8-45CF-83A8-BAA57A5E5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539392"/>
        <c:axId val="1732543232"/>
      </c:lineChart>
      <c:catAx>
        <c:axId val="173253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Training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43232"/>
        <c:crosses val="autoZero"/>
        <c:auto val="1"/>
        <c:lblAlgn val="ctr"/>
        <c:lblOffset val="100"/>
        <c:noMultiLvlLbl val="0"/>
      </c:catAx>
      <c:valAx>
        <c:axId val="17325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Xbar-S^2 Chart of Length of Pretzel Testing Set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'X-bar S^2 Chart'!$H$12:$H$21</c:f>
              <c:numCache>
                <c:formatCode>General</c:formatCode>
                <c:ptCount val="10"/>
                <c:pt idx="0">
                  <c:v>0.18799999999999958</c:v>
                </c:pt>
                <c:pt idx="1">
                  <c:v>9.4666666666666857E-2</c:v>
                </c:pt>
                <c:pt idx="2">
                  <c:v>0.12166666666666685</c:v>
                </c:pt>
                <c:pt idx="3">
                  <c:v>0.22166666666666662</c:v>
                </c:pt>
                <c:pt idx="4">
                  <c:v>0.11499999999999977</c:v>
                </c:pt>
                <c:pt idx="5">
                  <c:v>6.8000000000000158E-2</c:v>
                </c:pt>
                <c:pt idx="6">
                  <c:v>0.17866666666666686</c:v>
                </c:pt>
                <c:pt idx="7">
                  <c:v>6.9666666666666807E-2</c:v>
                </c:pt>
                <c:pt idx="8">
                  <c:v>9.6000000000000169E-2</c:v>
                </c:pt>
                <c:pt idx="9">
                  <c:v>3.4666666666666679E-2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6-46CC-B800-916B716582E3}"/>
            </c:ext>
          </c:extLst>
        </c:ser>
        <c:ser>
          <c:idx val="1"/>
          <c:order val="1"/>
          <c:tx>
            <c:v>LCL = 0.0659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Chart'!$I$2:$I$11</c:f>
              <c:numCache>
                <c:formatCode>General</c:formatCode>
                <c:ptCount val="10"/>
                <c:pt idx="0">
                  <c:v>6.8582698999999997E-2</c:v>
                </c:pt>
                <c:pt idx="1">
                  <c:v>6.8582698999999997E-2</c:v>
                </c:pt>
                <c:pt idx="2">
                  <c:v>6.8582698999999997E-2</c:v>
                </c:pt>
                <c:pt idx="3">
                  <c:v>6.8582698999999997E-2</c:v>
                </c:pt>
                <c:pt idx="4">
                  <c:v>6.8582698999999997E-2</c:v>
                </c:pt>
                <c:pt idx="5">
                  <c:v>6.8582698999999997E-2</c:v>
                </c:pt>
                <c:pt idx="6">
                  <c:v>6.8582698999999997E-2</c:v>
                </c:pt>
                <c:pt idx="7">
                  <c:v>6.8582698999999997E-2</c:v>
                </c:pt>
                <c:pt idx="8">
                  <c:v>6.8582698999999997E-2</c:v>
                </c:pt>
                <c:pt idx="9">
                  <c:v>6.8582698999999997E-2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6-46CC-B800-916B716582E3}"/>
            </c:ext>
          </c:extLst>
        </c:ser>
        <c:ser>
          <c:idx val="2"/>
          <c:order val="2"/>
          <c:tx>
            <c:v>CL = 0.1238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Chart'!$J$2:$J$11</c:f>
              <c:numCache>
                <c:formatCode>General</c:formatCode>
                <c:ptCount val="10"/>
                <c:pt idx="0">
                  <c:v>0.1288</c:v>
                </c:pt>
                <c:pt idx="1">
                  <c:v>0.1288</c:v>
                </c:pt>
                <c:pt idx="2">
                  <c:v>0.1288</c:v>
                </c:pt>
                <c:pt idx="3">
                  <c:v>0.1288</c:v>
                </c:pt>
                <c:pt idx="4">
                  <c:v>0.1288</c:v>
                </c:pt>
                <c:pt idx="5">
                  <c:v>0.1288</c:v>
                </c:pt>
                <c:pt idx="6">
                  <c:v>0.1288</c:v>
                </c:pt>
                <c:pt idx="7">
                  <c:v>0.1288</c:v>
                </c:pt>
                <c:pt idx="8">
                  <c:v>0.1288</c:v>
                </c:pt>
                <c:pt idx="9">
                  <c:v>0.1288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86-46CC-B800-916B716582E3}"/>
            </c:ext>
          </c:extLst>
        </c:ser>
        <c:ser>
          <c:idx val="3"/>
          <c:order val="3"/>
          <c:tx>
            <c:v>UCL = 0.1964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Chart'!$K$2:$K$11</c:f>
              <c:numCache>
                <c:formatCode>General</c:formatCode>
                <c:ptCount val="10"/>
                <c:pt idx="0">
                  <c:v>0.20434138399999999</c:v>
                </c:pt>
                <c:pt idx="1">
                  <c:v>0.20434138399999999</c:v>
                </c:pt>
                <c:pt idx="2">
                  <c:v>0.20434138399999999</c:v>
                </c:pt>
                <c:pt idx="3">
                  <c:v>0.20434138399999999</c:v>
                </c:pt>
                <c:pt idx="4">
                  <c:v>0.20434138399999999</c:v>
                </c:pt>
                <c:pt idx="5">
                  <c:v>0.20434138399999999</c:v>
                </c:pt>
                <c:pt idx="6">
                  <c:v>0.20434138399999999</c:v>
                </c:pt>
                <c:pt idx="7">
                  <c:v>0.20434138399999999</c:v>
                </c:pt>
                <c:pt idx="8">
                  <c:v>0.20434138399999999</c:v>
                </c:pt>
                <c:pt idx="9">
                  <c:v>0.20434138399999999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86-46CC-B800-916B71658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539392"/>
        <c:axId val="1732543232"/>
      </c:lineChart>
      <c:catAx>
        <c:axId val="173253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Testing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43232"/>
        <c:crosses val="autoZero"/>
        <c:auto val="1"/>
        <c:lblAlgn val="ctr"/>
        <c:lblOffset val="100"/>
        <c:noMultiLvlLbl val="0"/>
      </c:catAx>
      <c:valAx>
        <c:axId val="17325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Xbar</a:t>
            </a:r>
            <a:r>
              <a:rPr lang="en-CA" baseline="0"/>
              <a:t> for </a:t>
            </a:r>
            <a:r>
              <a:rPr lang="en-CA"/>
              <a:t>S^2 Chart of Length of Pretzel Training Set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'X-bar S^2 Chart'!$L$2:$L$11</c:f>
              <c:numCache>
                <c:formatCode>General</c:formatCode>
                <c:ptCount val="10"/>
                <c:pt idx="0">
                  <c:v>10.033333333333333</c:v>
                </c:pt>
                <c:pt idx="1">
                  <c:v>10</c:v>
                </c:pt>
                <c:pt idx="2">
                  <c:v>9.9166666666666661</c:v>
                </c:pt>
                <c:pt idx="3">
                  <c:v>10.083333333333334</c:v>
                </c:pt>
                <c:pt idx="4">
                  <c:v>10.066666666666666</c:v>
                </c:pt>
                <c:pt idx="5">
                  <c:v>9.8166666666666664</c:v>
                </c:pt>
                <c:pt idx="6">
                  <c:v>9.7766666666666655</c:v>
                </c:pt>
                <c:pt idx="7">
                  <c:v>9.7000000000000011</c:v>
                </c:pt>
                <c:pt idx="8">
                  <c:v>10.200000000000001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A-4F02-A3C7-8ACC42A6A432}"/>
            </c:ext>
          </c:extLst>
        </c:ser>
        <c:ser>
          <c:idx val="1"/>
          <c:order val="1"/>
          <c:tx>
            <c:v>LCL = 9.793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Chart'!$M$2:$M$11</c:f>
              <c:numCache>
                <c:formatCode>General</c:formatCode>
                <c:ptCount val="10"/>
                <c:pt idx="0">
                  <c:v>9.7935677329999997</c:v>
                </c:pt>
                <c:pt idx="1">
                  <c:v>9.7935677329999997</c:v>
                </c:pt>
                <c:pt idx="2">
                  <c:v>9.7935677329999997</c:v>
                </c:pt>
                <c:pt idx="3">
                  <c:v>9.7935677329999997</c:v>
                </c:pt>
                <c:pt idx="4">
                  <c:v>9.7935677329999997</c:v>
                </c:pt>
                <c:pt idx="5">
                  <c:v>9.7935677329999997</c:v>
                </c:pt>
                <c:pt idx="6">
                  <c:v>9.7935677329999997</c:v>
                </c:pt>
                <c:pt idx="7">
                  <c:v>9.7935677329999997</c:v>
                </c:pt>
                <c:pt idx="8">
                  <c:v>9.7935677329999997</c:v>
                </c:pt>
                <c:pt idx="9">
                  <c:v>9.7935677329999997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A-4F02-A3C7-8ACC42A6A432}"/>
            </c:ext>
          </c:extLst>
        </c:ser>
        <c:ser>
          <c:idx val="2"/>
          <c:order val="2"/>
          <c:tx>
            <c:v>CL = 9.959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Chart'!$N$2:$N$11</c:f>
              <c:numCache>
                <c:formatCode>General</c:formatCode>
                <c:ptCount val="10"/>
                <c:pt idx="0">
                  <c:v>9.959333333</c:v>
                </c:pt>
                <c:pt idx="1">
                  <c:v>9.959333333</c:v>
                </c:pt>
                <c:pt idx="2">
                  <c:v>9.959333333</c:v>
                </c:pt>
                <c:pt idx="3">
                  <c:v>9.959333333</c:v>
                </c:pt>
                <c:pt idx="4">
                  <c:v>9.959333333</c:v>
                </c:pt>
                <c:pt idx="5">
                  <c:v>9.959333333</c:v>
                </c:pt>
                <c:pt idx="6">
                  <c:v>9.959333333</c:v>
                </c:pt>
                <c:pt idx="7">
                  <c:v>9.959333333</c:v>
                </c:pt>
                <c:pt idx="8">
                  <c:v>9.959333333</c:v>
                </c:pt>
                <c:pt idx="9">
                  <c:v>9.959333333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EA-4F02-A3C7-8ACC42A6A432}"/>
            </c:ext>
          </c:extLst>
        </c:ser>
        <c:ser>
          <c:idx val="3"/>
          <c:order val="3"/>
          <c:tx>
            <c:v>UCL = 10.125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Chart'!$O$2:$O$11</c:f>
              <c:numCache>
                <c:formatCode>General</c:formatCode>
                <c:ptCount val="10"/>
                <c:pt idx="0">
                  <c:v>10.12509893</c:v>
                </c:pt>
                <c:pt idx="1">
                  <c:v>10.12509893</c:v>
                </c:pt>
                <c:pt idx="2">
                  <c:v>10.12509893</c:v>
                </c:pt>
                <c:pt idx="3">
                  <c:v>10.12509893</c:v>
                </c:pt>
                <c:pt idx="4">
                  <c:v>10.12509893</c:v>
                </c:pt>
                <c:pt idx="5">
                  <c:v>10.12509893</c:v>
                </c:pt>
                <c:pt idx="6">
                  <c:v>10.12509893</c:v>
                </c:pt>
                <c:pt idx="7">
                  <c:v>10.12509893</c:v>
                </c:pt>
                <c:pt idx="8">
                  <c:v>10.12509893</c:v>
                </c:pt>
                <c:pt idx="9">
                  <c:v>10.12509893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EA-4F02-A3C7-8ACC42A6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539392"/>
        <c:axId val="1732543232"/>
      </c:lineChart>
      <c:catAx>
        <c:axId val="173253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Training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43232"/>
        <c:crosses val="autoZero"/>
        <c:auto val="1"/>
        <c:lblAlgn val="ctr"/>
        <c:lblOffset val="100"/>
        <c:noMultiLvlLbl val="0"/>
      </c:catAx>
      <c:valAx>
        <c:axId val="17325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Xbar</a:t>
            </a:r>
            <a:r>
              <a:rPr lang="en-CA" baseline="0"/>
              <a:t> for </a:t>
            </a:r>
            <a:r>
              <a:rPr lang="en-CA"/>
              <a:t>S^2 Chart of Length of Pretzel Testing Set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val>
            <c:numRef>
              <c:f>'X-bar S^2 Chart'!$L$12:$L$21</c:f>
              <c:numCache>
                <c:formatCode>General</c:formatCode>
                <c:ptCount val="10"/>
                <c:pt idx="0">
                  <c:v>10</c:v>
                </c:pt>
                <c:pt idx="1">
                  <c:v>9.8666666666666671</c:v>
                </c:pt>
                <c:pt idx="2">
                  <c:v>9.9166666666666661</c:v>
                </c:pt>
                <c:pt idx="3">
                  <c:v>9.8833333333333329</c:v>
                </c:pt>
                <c:pt idx="4">
                  <c:v>9.75</c:v>
                </c:pt>
                <c:pt idx="5">
                  <c:v>10.1</c:v>
                </c:pt>
                <c:pt idx="6">
                  <c:v>9.9333333333333318</c:v>
                </c:pt>
                <c:pt idx="7">
                  <c:v>9.8833333333333329</c:v>
                </c:pt>
                <c:pt idx="8">
                  <c:v>10.1</c:v>
                </c:pt>
                <c:pt idx="9">
                  <c:v>9.8333333333333321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7-4C33-BE34-2F02934E3D2F}"/>
            </c:ext>
          </c:extLst>
        </c:ser>
        <c:ser>
          <c:idx val="1"/>
          <c:order val="1"/>
          <c:tx>
            <c:v>LCL = 9.793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Chart'!$M$2:$M$11</c:f>
              <c:numCache>
                <c:formatCode>General</c:formatCode>
                <c:ptCount val="10"/>
                <c:pt idx="0">
                  <c:v>9.7935677329999997</c:v>
                </c:pt>
                <c:pt idx="1">
                  <c:v>9.7935677329999997</c:v>
                </c:pt>
                <c:pt idx="2">
                  <c:v>9.7935677329999997</c:v>
                </c:pt>
                <c:pt idx="3">
                  <c:v>9.7935677329999997</c:v>
                </c:pt>
                <c:pt idx="4">
                  <c:v>9.7935677329999997</c:v>
                </c:pt>
                <c:pt idx="5">
                  <c:v>9.7935677329999997</c:v>
                </c:pt>
                <c:pt idx="6">
                  <c:v>9.7935677329999997</c:v>
                </c:pt>
                <c:pt idx="7">
                  <c:v>9.7935677329999997</c:v>
                </c:pt>
                <c:pt idx="8">
                  <c:v>9.7935677329999997</c:v>
                </c:pt>
                <c:pt idx="9">
                  <c:v>9.7935677329999997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7-4C33-BE34-2F02934E3D2F}"/>
            </c:ext>
          </c:extLst>
        </c:ser>
        <c:ser>
          <c:idx val="2"/>
          <c:order val="2"/>
          <c:tx>
            <c:v>CL = 9.959</c:v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Chart'!$N$2:$N$11</c:f>
              <c:numCache>
                <c:formatCode>General</c:formatCode>
                <c:ptCount val="10"/>
                <c:pt idx="0">
                  <c:v>9.959333333</c:v>
                </c:pt>
                <c:pt idx="1">
                  <c:v>9.959333333</c:v>
                </c:pt>
                <c:pt idx="2">
                  <c:v>9.959333333</c:v>
                </c:pt>
                <c:pt idx="3">
                  <c:v>9.959333333</c:v>
                </c:pt>
                <c:pt idx="4">
                  <c:v>9.959333333</c:v>
                </c:pt>
                <c:pt idx="5">
                  <c:v>9.959333333</c:v>
                </c:pt>
                <c:pt idx="6">
                  <c:v>9.959333333</c:v>
                </c:pt>
                <c:pt idx="7">
                  <c:v>9.959333333</c:v>
                </c:pt>
                <c:pt idx="8">
                  <c:v>9.959333333</c:v>
                </c:pt>
                <c:pt idx="9">
                  <c:v>9.959333333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57-4C33-BE34-2F02934E3D2F}"/>
            </c:ext>
          </c:extLst>
        </c:ser>
        <c:ser>
          <c:idx val="3"/>
          <c:order val="3"/>
          <c:tx>
            <c:v>UCL = 10.125</c:v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'X-bar S^2 Chart'!$O$2:$O$11</c:f>
              <c:numCache>
                <c:formatCode>General</c:formatCode>
                <c:ptCount val="10"/>
                <c:pt idx="0">
                  <c:v>10.12509893</c:v>
                </c:pt>
                <c:pt idx="1">
                  <c:v>10.12509893</c:v>
                </c:pt>
                <c:pt idx="2">
                  <c:v>10.12509893</c:v>
                </c:pt>
                <c:pt idx="3">
                  <c:v>10.12509893</c:v>
                </c:pt>
                <c:pt idx="4">
                  <c:v>10.12509893</c:v>
                </c:pt>
                <c:pt idx="5">
                  <c:v>10.12509893</c:v>
                </c:pt>
                <c:pt idx="6">
                  <c:v>10.12509893</c:v>
                </c:pt>
                <c:pt idx="7">
                  <c:v>10.12509893</c:v>
                </c:pt>
                <c:pt idx="8">
                  <c:v>10.12509893</c:v>
                </c:pt>
                <c:pt idx="9">
                  <c:v>10.12509893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57-4C33-BE34-2F02934E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539392"/>
        <c:axId val="1732543232"/>
      </c:lineChart>
      <c:catAx>
        <c:axId val="173253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Testing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43232"/>
        <c:crosses val="autoZero"/>
        <c:auto val="1"/>
        <c:lblAlgn val="ctr"/>
        <c:lblOffset val="100"/>
        <c:noMultiLvlLbl val="0"/>
      </c:catAx>
      <c:valAx>
        <c:axId val="17325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Sample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45</xdr:row>
      <xdr:rowOff>178864</xdr:rowOff>
    </xdr:from>
    <xdr:to>
      <xdr:col>17</xdr:col>
      <xdr:colOff>636373</xdr:colOff>
      <xdr:row>59</xdr:row>
      <xdr:rowOff>150855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21595-BEC4-9E2C-A2B9-F78873222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432486</xdr:colOff>
      <xdr:row>46</xdr:row>
      <xdr:rowOff>72081</xdr:rowOff>
    </xdr:from>
    <xdr:to>
      <xdr:col>10</xdr:col>
      <xdr:colOff>384293</xdr:colOff>
      <xdr:row>60</xdr:row>
      <xdr:rowOff>44072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85971-F099-4CD3-9464-A724B941C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401594</xdr:colOff>
      <xdr:row>31</xdr:row>
      <xdr:rowOff>51487</xdr:rowOff>
    </xdr:from>
    <xdr:to>
      <xdr:col>18</xdr:col>
      <xdr:colOff>20595</xdr:colOff>
      <xdr:row>45</xdr:row>
      <xdr:rowOff>23478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5D015-7461-4771-9F03-55FAB87AB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319217</xdr:colOff>
      <xdr:row>31</xdr:row>
      <xdr:rowOff>164757</xdr:rowOff>
    </xdr:from>
    <xdr:to>
      <xdr:col>10</xdr:col>
      <xdr:colOff>514865</xdr:colOff>
      <xdr:row>45</xdr:row>
      <xdr:rowOff>136748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BC1A57-5615-49F7-8465-86EA5CAED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21"/>
  <sheetViews>
    <sheetView tabSelected="1" topLeftCell="A23" zoomScale="74" workbookViewId="0">
      <selection activeCell="F8" sqref="F8"/>
    </sheetView>
  </sheetViews>
  <sheetFormatPr defaultColWidth="12.6640625" defaultRowHeight="15.75" customHeight="1" x14ac:dyDescent="0.25"/>
  <cols>
    <col min="1" max="1" width="13.6640625" customWidth="1"/>
    <col min="2" max="2" width="15.6640625" customWidth="1"/>
    <col min="3" max="3" width="18.44140625" customWidth="1"/>
    <col min="6" max="7" width="14.6640625" customWidth="1"/>
    <col min="11" max="11" width="13.6640625" bestFit="1" customWidth="1"/>
  </cols>
  <sheetData>
    <row r="1" spans="1:15" x14ac:dyDescent="0.25">
      <c r="A1" s="1" t="s">
        <v>9</v>
      </c>
      <c r="B1" s="1" t="s">
        <v>10</v>
      </c>
      <c r="C1" s="1" t="s">
        <v>0</v>
      </c>
      <c r="F1" s="2" t="s">
        <v>10</v>
      </c>
      <c r="G1" s="2" t="s">
        <v>11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6</v>
      </c>
      <c r="M1" s="2" t="s">
        <v>2</v>
      </c>
      <c r="N1" s="2" t="s">
        <v>3</v>
      </c>
      <c r="O1" s="2" t="s">
        <v>4</v>
      </c>
    </row>
    <row r="2" spans="1:15" x14ac:dyDescent="0.25">
      <c r="A2" s="3">
        <v>1</v>
      </c>
      <c r="B2" s="3">
        <v>1</v>
      </c>
      <c r="C2" s="3">
        <v>9.6</v>
      </c>
      <c r="F2" s="2">
        <v>1</v>
      </c>
      <c r="G2" s="2">
        <f>STDEV(C2:C7)</f>
        <v>0.28047578623950198</v>
      </c>
      <c r="H2" s="2">
        <f t="shared" ref="H2:H21" si="0">G2^2</f>
        <v>7.8666666666666801E-2</v>
      </c>
      <c r="I2">
        <v>6.8582698999999997E-2</v>
      </c>
      <c r="J2">
        <v>0.1288</v>
      </c>
      <c r="K2">
        <v>0.20434138399999999</v>
      </c>
      <c r="L2">
        <f>AVERAGE(C2:C7)</f>
        <v>10.033333333333333</v>
      </c>
      <c r="M2">
        <v>9.7935677329999997</v>
      </c>
      <c r="N2">
        <v>9.959333333</v>
      </c>
      <c r="O2">
        <v>10.12509893</v>
      </c>
    </row>
    <row r="3" spans="1:15" x14ac:dyDescent="0.25">
      <c r="A3" s="3">
        <v>2</v>
      </c>
      <c r="B3" s="3">
        <v>1</v>
      </c>
      <c r="C3" s="3">
        <v>10.3</v>
      </c>
      <c r="F3" s="2">
        <v>2</v>
      </c>
      <c r="G3" s="2">
        <f>STDEV(C8:C13)</f>
        <v>0.54037024344425166</v>
      </c>
      <c r="H3" s="2">
        <f t="shared" si="0"/>
        <v>0.29199999999999982</v>
      </c>
      <c r="I3">
        <v>6.8582698999999997E-2</v>
      </c>
      <c r="J3">
        <v>0.1288</v>
      </c>
      <c r="K3">
        <v>0.20434138399999999</v>
      </c>
      <c r="L3">
        <f>AVERAGE(C8:C13)</f>
        <v>10</v>
      </c>
      <c r="M3">
        <v>9.7935677329999997</v>
      </c>
      <c r="N3">
        <v>9.959333333</v>
      </c>
      <c r="O3">
        <v>10.12509893</v>
      </c>
    </row>
    <row r="4" spans="1:15" x14ac:dyDescent="0.25">
      <c r="A4" s="3">
        <v>3</v>
      </c>
      <c r="B4" s="3">
        <v>1</v>
      </c>
      <c r="C4" s="3">
        <v>10.3</v>
      </c>
      <c r="F4" s="2">
        <v>3</v>
      </c>
      <c r="G4" s="2">
        <f>STDEV(C14:C19)</f>
        <v>0.25625508125043478</v>
      </c>
      <c r="H4" s="2">
        <f t="shared" si="0"/>
        <v>6.5666666666666929E-2</v>
      </c>
      <c r="I4">
        <v>6.8582698999999997E-2</v>
      </c>
      <c r="J4">
        <v>0.1288</v>
      </c>
      <c r="K4">
        <v>0.20434138399999999</v>
      </c>
      <c r="L4">
        <f>AVERAGE(C14:C19)</f>
        <v>9.9166666666666661</v>
      </c>
      <c r="M4">
        <v>9.7935677329999997</v>
      </c>
      <c r="N4">
        <v>9.959333333</v>
      </c>
      <c r="O4">
        <v>10.12509893</v>
      </c>
    </row>
    <row r="5" spans="1:15" x14ac:dyDescent="0.25">
      <c r="A5" s="3">
        <v>4</v>
      </c>
      <c r="B5" s="3">
        <v>1</v>
      </c>
      <c r="C5" s="3">
        <v>9.9</v>
      </c>
      <c r="F5" s="2">
        <v>4</v>
      </c>
      <c r="G5" s="2">
        <f>STDEV(C20:C25)</f>
        <v>7.5277265270907834E-2</v>
      </c>
      <c r="H5" s="2">
        <f t="shared" si="0"/>
        <v>5.6666666666666263E-3</v>
      </c>
      <c r="I5">
        <v>6.8582698999999997E-2</v>
      </c>
      <c r="J5">
        <v>0.1288</v>
      </c>
      <c r="K5">
        <v>0.20434138399999999</v>
      </c>
      <c r="L5">
        <f>AVERAGE(C20:C25)</f>
        <v>10.083333333333334</v>
      </c>
      <c r="M5">
        <v>9.7935677329999997</v>
      </c>
      <c r="N5">
        <v>9.959333333</v>
      </c>
      <c r="O5">
        <v>10.12509893</v>
      </c>
    </row>
    <row r="6" spans="1:15" x14ac:dyDescent="0.25">
      <c r="A6" s="3">
        <v>5</v>
      </c>
      <c r="B6" s="3">
        <v>1</v>
      </c>
      <c r="C6" s="3">
        <v>10.199999999999999</v>
      </c>
      <c r="F6" s="2">
        <v>5</v>
      </c>
      <c r="G6" s="2">
        <f>STDEV(C26:C31)</f>
        <v>0.29439202887759514</v>
      </c>
      <c r="H6" s="2">
        <f t="shared" si="0"/>
        <v>8.6666666666666808E-2</v>
      </c>
      <c r="I6">
        <v>6.8582698999999997E-2</v>
      </c>
      <c r="J6">
        <v>0.1288</v>
      </c>
      <c r="K6">
        <v>0.20434138399999999</v>
      </c>
      <c r="L6">
        <f>AVERAGE(C26:C31)</f>
        <v>10.066666666666666</v>
      </c>
      <c r="M6">
        <v>9.7935677329999997</v>
      </c>
      <c r="N6">
        <v>9.959333333</v>
      </c>
      <c r="O6">
        <v>10.12509893</v>
      </c>
    </row>
    <row r="7" spans="1:15" x14ac:dyDescent="0.25">
      <c r="A7" s="3">
        <v>6</v>
      </c>
      <c r="B7" s="3">
        <v>1</v>
      </c>
      <c r="C7" s="3">
        <v>9.9</v>
      </c>
      <c r="F7" s="2">
        <v>6</v>
      </c>
      <c r="G7" s="2">
        <f>STDEV(C32:C37)</f>
        <v>0.49159604012508756</v>
      </c>
      <c r="H7" s="2">
        <f t="shared" si="0"/>
        <v>0.2416666666666667</v>
      </c>
      <c r="I7">
        <v>6.8582698999999997E-2</v>
      </c>
      <c r="J7">
        <v>0.1288</v>
      </c>
      <c r="K7">
        <v>0.20434138399999999</v>
      </c>
      <c r="L7">
        <f>AVERAGE(C32:C37)</f>
        <v>9.8166666666666664</v>
      </c>
      <c r="M7">
        <v>9.7935677329999997</v>
      </c>
      <c r="N7">
        <v>9.959333333</v>
      </c>
      <c r="O7">
        <v>10.12509893</v>
      </c>
    </row>
    <row r="8" spans="1:15" x14ac:dyDescent="0.25">
      <c r="A8" s="3">
        <v>7</v>
      </c>
      <c r="B8" s="3">
        <v>2</v>
      </c>
      <c r="C8" s="3">
        <v>10.5</v>
      </c>
      <c r="F8" s="2">
        <v>7</v>
      </c>
      <c r="G8" s="2">
        <f>STDEV(C38:C43)</f>
        <v>0.49564772436345012</v>
      </c>
      <c r="H8" s="2">
        <f t="shared" si="0"/>
        <v>0.24566666666666662</v>
      </c>
      <c r="I8">
        <v>6.8582698999999997E-2</v>
      </c>
      <c r="J8">
        <v>0.1288</v>
      </c>
      <c r="K8">
        <v>0.20434138399999999</v>
      </c>
      <c r="L8">
        <f>AVERAGE(C38:C43)</f>
        <v>9.7766666666666655</v>
      </c>
      <c r="M8">
        <v>9.7935677329999997</v>
      </c>
      <c r="N8">
        <v>9.959333333</v>
      </c>
      <c r="O8">
        <v>10.12509893</v>
      </c>
    </row>
    <row r="9" spans="1:15" x14ac:dyDescent="0.25">
      <c r="A9" s="3">
        <v>8</v>
      </c>
      <c r="B9" s="3">
        <v>2</v>
      </c>
      <c r="C9" s="3">
        <v>10.199999999999999</v>
      </c>
      <c r="F9" s="2">
        <v>8</v>
      </c>
      <c r="G9" s="2">
        <f>STDEV(C44:C49)</f>
        <v>0.20976176963403023</v>
      </c>
      <c r="H9" s="2">
        <f t="shared" si="0"/>
        <v>4.399999999999997E-2</v>
      </c>
      <c r="I9">
        <v>6.8582698999999997E-2</v>
      </c>
      <c r="J9">
        <v>0.1288</v>
      </c>
      <c r="K9">
        <v>0.20434138399999999</v>
      </c>
      <c r="L9">
        <f>AVERAGE(C44:C49)</f>
        <v>9.7000000000000011</v>
      </c>
      <c r="M9">
        <v>9.7935677329999997</v>
      </c>
      <c r="N9">
        <v>9.959333333</v>
      </c>
      <c r="O9">
        <v>10.12509893</v>
      </c>
    </row>
    <row r="10" spans="1:15" x14ac:dyDescent="0.25">
      <c r="A10" s="3">
        <v>9</v>
      </c>
      <c r="B10" s="3">
        <v>2</v>
      </c>
      <c r="C10" s="3">
        <v>10.7</v>
      </c>
      <c r="F10" s="2">
        <v>9</v>
      </c>
      <c r="G10" s="2">
        <f>STDEV(C50:C55)</f>
        <v>0.29664793948382689</v>
      </c>
      <c r="H10" s="2">
        <f t="shared" si="0"/>
        <v>8.8000000000000217E-2</v>
      </c>
      <c r="I10">
        <v>6.8582698999999997E-2</v>
      </c>
      <c r="J10">
        <v>0.1288</v>
      </c>
      <c r="K10">
        <v>0.20434138399999999</v>
      </c>
      <c r="L10">
        <f>AVERAGE(C50:C55)</f>
        <v>10.200000000000001</v>
      </c>
      <c r="M10">
        <v>9.7935677329999997</v>
      </c>
      <c r="N10">
        <v>9.959333333</v>
      </c>
      <c r="O10">
        <v>10.12509893</v>
      </c>
    </row>
    <row r="11" spans="1:15" x14ac:dyDescent="0.25">
      <c r="A11" s="3">
        <v>10</v>
      </c>
      <c r="B11" s="3">
        <v>2</v>
      </c>
      <c r="C11" s="3">
        <v>9.6</v>
      </c>
      <c r="F11" s="2">
        <v>10</v>
      </c>
      <c r="G11" s="2">
        <f>STDEV(C56:C61)</f>
        <v>0.37416573867739406</v>
      </c>
      <c r="H11" s="2">
        <f t="shared" si="0"/>
        <v>0.13999999999999993</v>
      </c>
      <c r="I11">
        <v>6.8582698999999997E-2</v>
      </c>
      <c r="J11">
        <v>0.1288</v>
      </c>
      <c r="K11">
        <v>0.20434138399999999</v>
      </c>
      <c r="L11">
        <f>AVERAGE(C56:C61)</f>
        <v>10</v>
      </c>
      <c r="M11">
        <v>9.7935677329999997</v>
      </c>
      <c r="N11">
        <v>9.959333333</v>
      </c>
      <c r="O11">
        <v>10.12509893</v>
      </c>
    </row>
    <row r="12" spans="1:15" x14ac:dyDescent="0.25">
      <c r="A12" s="3">
        <v>11</v>
      </c>
      <c r="B12" s="3">
        <v>2</v>
      </c>
      <c r="C12" s="3">
        <v>9.4</v>
      </c>
      <c r="F12" s="2">
        <v>11</v>
      </c>
      <c r="G12" s="2">
        <f>STDEV(C62:C67)</f>
        <v>0.43358966777357549</v>
      </c>
      <c r="H12" s="2">
        <f t="shared" si="0"/>
        <v>0.18799999999999958</v>
      </c>
      <c r="L12">
        <f>AVERAGE(C62:C67)</f>
        <v>10</v>
      </c>
    </row>
    <row r="13" spans="1:15" x14ac:dyDescent="0.25">
      <c r="A13" s="3">
        <v>12</v>
      </c>
      <c r="B13" s="3">
        <v>2</v>
      </c>
      <c r="C13" s="3">
        <v>9.6</v>
      </c>
      <c r="F13" s="2">
        <v>12</v>
      </c>
      <c r="G13" s="2">
        <f>STDEV(C68:C73)</f>
        <v>0.30767948691238234</v>
      </c>
      <c r="H13" s="2">
        <f t="shared" si="0"/>
        <v>9.4666666666666857E-2</v>
      </c>
      <c r="L13">
        <f>AVERAGE(C68:C73)</f>
        <v>9.8666666666666671</v>
      </c>
    </row>
    <row r="14" spans="1:15" x14ac:dyDescent="0.25">
      <c r="A14" s="3">
        <v>13</v>
      </c>
      <c r="B14" s="3">
        <v>3</v>
      </c>
      <c r="C14" s="3">
        <v>10.1</v>
      </c>
      <c r="F14" s="2">
        <v>13</v>
      </c>
      <c r="G14" s="2">
        <f>STDEV(C74:C79)</f>
        <v>0.34880749227427277</v>
      </c>
      <c r="H14" s="2">
        <f t="shared" si="0"/>
        <v>0.12166666666666685</v>
      </c>
      <c r="L14">
        <f>AVERAGE(C74:C79)</f>
        <v>9.9166666666666661</v>
      </c>
    </row>
    <row r="15" spans="1:15" x14ac:dyDescent="0.25">
      <c r="A15" s="3">
        <v>14</v>
      </c>
      <c r="B15" s="3">
        <v>3</v>
      </c>
      <c r="C15" s="3">
        <v>10.3</v>
      </c>
      <c r="F15" s="2">
        <v>14</v>
      </c>
      <c r="G15" s="2">
        <f>STDEV(C80:C85)</f>
        <v>0.47081489639418445</v>
      </c>
      <c r="H15" s="2">
        <f t="shared" si="0"/>
        <v>0.22166666666666662</v>
      </c>
      <c r="L15">
        <f>AVERAGE(C80:C85)</f>
        <v>9.8833333333333329</v>
      </c>
    </row>
    <row r="16" spans="1:15" x14ac:dyDescent="0.25">
      <c r="A16" s="3">
        <v>15</v>
      </c>
      <c r="B16" s="3">
        <v>3</v>
      </c>
      <c r="C16" s="3">
        <v>9.6999999999999993</v>
      </c>
      <c r="F16" s="2">
        <v>15</v>
      </c>
      <c r="G16" s="2">
        <f>STDEV(C86:C91)</f>
        <v>0.33911649915626307</v>
      </c>
      <c r="H16" s="2">
        <f t="shared" si="0"/>
        <v>0.11499999999999977</v>
      </c>
      <c r="L16">
        <f>AVERAGE(C86:C91)</f>
        <v>9.75</v>
      </c>
    </row>
    <row r="17" spans="1:12" x14ac:dyDescent="0.25">
      <c r="A17" s="3">
        <v>16</v>
      </c>
      <c r="B17" s="3">
        <v>3</v>
      </c>
      <c r="C17" s="3">
        <v>9.6999999999999993</v>
      </c>
      <c r="F17" s="2">
        <v>16</v>
      </c>
      <c r="G17" s="2">
        <f>STDEV(C92:C97)</f>
        <v>0.26076809620810626</v>
      </c>
      <c r="H17" s="2">
        <f t="shared" si="0"/>
        <v>6.8000000000000158E-2</v>
      </c>
      <c r="L17">
        <f>AVERAGE(C92:C97)</f>
        <v>10.1</v>
      </c>
    </row>
    <row r="18" spans="1:12" x14ac:dyDescent="0.25">
      <c r="A18" s="3">
        <v>17</v>
      </c>
      <c r="B18" s="3">
        <v>3</v>
      </c>
      <c r="C18" s="3">
        <v>9.6999999999999993</v>
      </c>
      <c r="F18" s="2">
        <v>17</v>
      </c>
      <c r="G18" s="2">
        <f>STDEV(C98:C103)</f>
        <v>0.4226897995772631</v>
      </c>
      <c r="H18" s="2">
        <f t="shared" si="0"/>
        <v>0.17866666666666686</v>
      </c>
      <c r="L18">
        <f>AVERAGE(C98:C103)</f>
        <v>9.9333333333333318</v>
      </c>
    </row>
    <row r="19" spans="1:12" x14ac:dyDescent="0.25">
      <c r="A19" s="3">
        <v>18</v>
      </c>
      <c r="B19" s="3">
        <v>3</v>
      </c>
      <c r="C19" s="3">
        <v>10</v>
      </c>
      <c r="F19" s="2">
        <v>18</v>
      </c>
      <c r="G19" s="2">
        <f>STDEV(C104:C109)</f>
        <v>0.26394443859772232</v>
      </c>
      <c r="H19" s="2">
        <f t="shared" si="0"/>
        <v>6.9666666666666807E-2</v>
      </c>
      <c r="L19">
        <f>AVERAGE(C104:C109)</f>
        <v>9.8833333333333329</v>
      </c>
    </row>
    <row r="20" spans="1:12" x14ac:dyDescent="0.25">
      <c r="A20" s="3">
        <v>19</v>
      </c>
      <c r="B20" s="3">
        <v>4</v>
      </c>
      <c r="C20" s="3">
        <v>10.1</v>
      </c>
      <c r="F20" s="2">
        <v>19</v>
      </c>
      <c r="G20" s="2">
        <f>STDEV(C110:C115)</f>
        <v>0.30983866769659363</v>
      </c>
      <c r="H20" s="2">
        <f t="shared" si="0"/>
        <v>9.6000000000000169E-2</v>
      </c>
      <c r="L20">
        <f>AVERAGE(C110:C115)</f>
        <v>10.1</v>
      </c>
    </row>
    <row r="21" spans="1:12" x14ac:dyDescent="0.25">
      <c r="A21" s="3">
        <v>20</v>
      </c>
      <c r="B21" s="3">
        <v>4</v>
      </c>
      <c r="C21" s="3">
        <v>10.1</v>
      </c>
      <c r="F21" s="2">
        <v>20</v>
      </c>
      <c r="G21" s="2">
        <f>STDEV(C116:C121)</f>
        <v>0.18618986725025258</v>
      </c>
      <c r="H21" s="2">
        <f t="shared" si="0"/>
        <v>3.4666666666666679E-2</v>
      </c>
      <c r="L21">
        <f>AVERAGE(C116:C121)</f>
        <v>9.8333333333333321</v>
      </c>
    </row>
    <row r="22" spans="1:12" x14ac:dyDescent="0.25">
      <c r="A22" s="3">
        <v>21</v>
      </c>
      <c r="B22" s="3">
        <v>4</v>
      </c>
      <c r="C22" s="3">
        <v>10.1</v>
      </c>
    </row>
    <row r="23" spans="1:12" x14ac:dyDescent="0.25">
      <c r="A23" s="3">
        <v>22</v>
      </c>
      <c r="B23" s="3">
        <v>4</v>
      </c>
      <c r="C23" s="3">
        <v>10</v>
      </c>
      <c r="G23" s="2" t="s">
        <v>7</v>
      </c>
      <c r="H23" s="2">
        <f>AVERAGE(H2:H11)</f>
        <v>0.12880000000000005</v>
      </c>
      <c r="K23" t="s">
        <v>8</v>
      </c>
      <c r="L23">
        <f>AVERAGE(L2:L11)</f>
        <v>9.9593333333333334</v>
      </c>
    </row>
    <row r="24" spans="1:12" x14ac:dyDescent="0.25">
      <c r="A24" s="3">
        <v>23</v>
      </c>
      <c r="B24" s="3">
        <v>4</v>
      </c>
      <c r="C24" s="3">
        <v>10.199999999999999</v>
      </c>
    </row>
    <row r="25" spans="1:12" x14ac:dyDescent="0.25">
      <c r="A25" s="3">
        <v>24</v>
      </c>
      <c r="B25" s="3">
        <v>4</v>
      </c>
      <c r="C25" s="3">
        <v>10</v>
      </c>
      <c r="G25" s="2" t="s">
        <v>2</v>
      </c>
      <c r="H25" s="2">
        <f>(H23/(20-1))*CHIINV(1-0.05,19)</f>
        <v>6.8582699085528706E-2</v>
      </c>
      <c r="I25">
        <v>6.8582698999999997E-2</v>
      </c>
    </row>
    <row r="26" spans="1:12" x14ac:dyDescent="0.25">
      <c r="A26" s="3">
        <v>25</v>
      </c>
      <c r="B26" s="3">
        <v>5</v>
      </c>
      <c r="C26" s="3">
        <v>9.9</v>
      </c>
      <c r="G26" s="2" t="s">
        <v>3</v>
      </c>
      <c r="H26" s="2">
        <f>H23</f>
        <v>0.12880000000000005</v>
      </c>
      <c r="I26">
        <v>0.1288</v>
      </c>
    </row>
    <row r="27" spans="1:12" x14ac:dyDescent="0.25">
      <c r="A27" s="3">
        <v>26</v>
      </c>
      <c r="B27" s="3">
        <v>5</v>
      </c>
      <c r="C27" s="3">
        <v>9.6999999999999993</v>
      </c>
      <c r="G27" s="2" t="s">
        <v>4</v>
      </c>
      <c r="H27" s="4">
        <f>(H23/(20-1))*CHIINV(0.05,19)</f>
        <v>0.20434138442564348</v>
      </c>
      <c r="I27">
        <v>0.20434138399999999</v>
      </c>
    </row>
    <row r="28" spans="1:12" x14ac:dyDescent="0.25">
      <c r="A28" s="3">
        <v>27</v>
      </c>
      <c r="B28" s="3">
        <v>5</v>
      </c>
      <c r="C28" s="3">
        <v>9.9</v>
      </c>
    </row>
    <row r="29" spans="1:12" x14ac:dyDescent="0.25">
      <c r="A29" s="3">
        <v>28</v>
      </c>
      <c r="B29" s="3">
        <v>5</v>
      </c>
      <c r="C29" s="3">
        <v>10.5</v>
      </c>
    </row>
    <row r="30" spans="1:12" x14ac:dyDescent="0.25">
      <c r="A30" s="3">
        <v>29</v>
      </c>
      <c r="B30" s="3">
        <v>5</v>
      </c>
      <c r="C30" s="3">
        <v>10.3</v>
      </c>
      <c r="G30" s="2" t="s">
        <v>5</v>
      </c>
    </row>
    <row r="31" spans="1:12" x14ac:dyDescent="0.25">
      <c r="A31" s="3">
        <v>30</v>
      </c>
      <c r="B31" s="3">
        <v>5</v>
      </c>
      <c r="C31" s="3">
        <v>10.1</v>
      </c>
    </row>
    <row r="32" spans="1:12" x14ac:dyDescent="0.25">
      <c r="A32" s="3">
        <v>31</v>
      </c>
      <c r="B32" s="3">
        <v>6</v>
      </c>
      <c r="C32" s="3">
        <v>9.6999999999999993</v>
      </c>
      <c r="G32" t="s">
        <v>2</v>
      </c>
      <c r="H32">
        <f>L23-1.287*H23</f>
        <v>9.7935677333333331</v>
      </c>
      <c r="I32">
        <v>9.7935677329999997</v>
      </c>
    </row>
    <row r="33" spans="1:9" x14ac:dyDescent="0.25">
      <c r="A33" s="3">
        <v>32</v>
      </c>
      <c r="B33" s="3">
        <v>6</v>
      </c>
      <c r="C33" s="3">
        <v>10.3</v>
      </c>
      <c r="G33" t="s">
        <v>3</v>
      </c>
      <c r="H33">
        <f>L23</f>
        <v>9.9593333333333334</v>
      </c>
      <c r="I33">
        <v>9.959333333</v>
      </c>
    </row>
    <row r="34" spans="1:9" x14ac:dyDescent="0.25">
      <c r="A34" s="3">
        <v>33</v>
      </c>
      <c r="B34" s="3">
        <v>6</v>
      </c>
      <c r="C34" s="3">
        <v>9.9</v>
      </c>
      <c r="G34" t="s">
        <v>4</v>
      </c>
      <c r="H34">
        <f>L23+1.287*H23</f>
        <v>10.125098933333334</v>
      </c>
      <c r="I34">
        <v>10.12509893</v>
      </c>
    </row>
    <row r="35" spans="1:9" x14ac:dyDescent="0.25">
      <c r="A35" s="3">
        <v>34</v>
      </c>
      <c r="B35" s="3">
        <v>6</v>
      </c>
      <c r="C35" s="3">
        <v>10.1</v>
      </c>
    </row>
    <row r="36" spans="1:9" x14ac:dyDescent="0.25">
      <c r="A36" s="3">
        <v>35</v>
      </c>
      <c r="B36" s="3">
        <v>6</v>
      </c>
      <c r="C36" s="3">
        <v>10</v>
      </c>
    </row>
    <row r="37" spans="1:9" x14ac:dyDescent="0.25">
      <c r="A37" s="3">
        <v>36</v>
      </c>
      <c r="B37" s="3">
        <v>6</v>
      </c>
      <c r="C37" s="3">
        <v>8.9</v>
      </c>
    </row>
    <row r="38" spans="1:9" x14ac:dyDescent="0.25">
      <c r="A38" s="3">
        <v>37</v>
      </c>
      <c r="B38" s="3">
        <v>7</v>
      </c>
      <c r="C38" s="3">
        <v>10.5</v>
      </c>
    </row>
    <row r="39" spans="1:9" x14ac:dyDescent="0.25">
      <c r="A39" s="3">
        <v>38</v>
      </c>
      <c r="B39" s="3">
        <v>7</v>
      </c>
      <c r="C39" s="3">
        <v>9.4</v>
      </c>
    </row>
    <row r="40" spans="1:9" x14ac:dyDescent="0.25">
      <c r="A40" s="3">
        <v>39</v>
      </c>
      <c r="B40" s="3">
        <v>7</v>
      </c>
      <c r="C40" s="3">
        <v>9.76</v>
      </c>
    </row>
    <row r="41" spans="1:9" x14ac:dyDescent="0.25">
      <c r="A41" s="3">
        <v>40</v>
      </c>
      <c r="B41" s="3">
        <v>7</v>
      </c>
      <c r="C41" s="3">
        <v>9.8000000000000007</v>
      </c>
    </row>
    <row r="42" spans="1:9" x14ac:dyDescent="0.25">
      <c r="A42" s="3">
        <v>41</v>
      </c>
      <c r="B42" s="3">
        <v>7</v>
      </c>
      <c r="C42" s="3">
        <v>9.1</v>
      </c>
    </row>
    <row r="43" spans="1:9" x14ac:dyDescent="0.25">
      <c r="A43" s="3">
        <v>42</v>
      </c>
      <c r="B43" s="3">
        <v>7</v>
      </c>
      <c r="C43" s="3">
        <v>10.1</v>
      </c>
    </row>
    <row r="44" spans="1:9" x14ac:dyDescent="0.25">
      <c r="A44" s="3">
        <v>43</v>
      </c>
      <c r="B44" s="3">
        <v>8</v>
      </c>
      <c r="C44" s="3">
        <v>9.8000000000000007</v>
      </c>
    </row>
    <row r="45" spans="1:9" x14ac:dyDescent="0.25">
      <c r="A45" s="3">
        <v>44</v>
      </c>
      <c r="B45" s="3">
        <v>8</v>
      </c>
      <c r="C45" s="3">
        <v>9.9</v>
      </c>
    </row>
    <row r="46" spans="1:9" x14ac:dyDescent="0.25">
      <c r="A46" s="3">
        <v>45</v>
      </c>
      <c r="B46" s="3">
        <v>8</v>
      </c>
      <c r="C46" s="3">
        <v>9.6999999999999993</v>
      </c>
    </row>
    <row r="47" spans="1:9" x14ac:dyDescent="0.25">
      <c r="A47" s="3">
        <v>46</v>
      </c>
      <c r="B47" s="3">
        <v>8</v>
      </c>
      <c r="C47" s="3">
        <v>9.6999999999999993</v>
      </c>
    </row>
    <row r="48" spans="1:9" x14ac:dyDescent="0.25">
      <c r="A48" s="3">
        <v>47</v>
      </c>
      <c r="B48" s="3">
        <v>8</v>
      </c>
      <c r="C48" s="3">
        <v>9.3000000000000007</v>
      </c>
    </row>
    <row r="49" spans="1:3" x14ac:dyDescent="0.25">
      <c r="A49" s="3">
        <v>48</v>
      </c>
      <c r="B49" s="3">
        <v>8</v>
      </c>
      <c r="C49" s="3">
        <v>9.8000000000000007</v>
      </c>
    </row>
    <row r="50" spans="1:3" x14ac:dyDescent="0.25">
      <c r="A50" s="3">
        <v>49</v>
      </c>
      <c r="B50" s="3">
        <v>9</v>
      </c>
      <c r="C50" s="3">
        <v>9.6999999999999993</v>
      </c>
    </row>
    <row r="51" spans="1:3" x14ac:dyDescent="0.25">
      <c r="A51" s="3">
        <v>50</v>
      </c>
      <c r="B51" s="3">
        <v>9</v>
      </c>
      <c r="C51" s="3">
        <v>10.4</v>
      </c>
    </row>
    <row r="52" spans="1:3" x14ac:dyDescent="0.25">
      <c r="A52" s="3">
        <v>51</v>
      </c>
      <c r="B52" s="3">
        <v>9</v>
      </c>
      <c r="C52" s="3">
        <v>10.3</v>
      </c>
    </row>
    <row r="53" spans="1:3" x14ac:dyDescent="0.25">
      <c r="A53" s="3">
        <v>52</v>
      </c>
      <c r="B53" s="3">
        <v>9</v>
      </c>
      <c r="C53" s="3">
        <v>10.3</v>
      </c>
    </row>
    <row r="54" spans="1:3" x14ac:dyDescent="0.25">
      <c r="A54" s="3">
        <v>53</v>
      </c>
      <c r="B54" s="3">
        <v>9</v>
      </c>
      <c r="C54" s="3">
        <v>10</v>
      </c>
    </row>
    <row r="55" spans="1:3" x14ac:dyDescent="0.25">
      <c r="A55" s="3">
        <v>54</v>
      </c>
      <c r="B55" s="3">
        <v>9</v>
      </c>
      <c r="C55" s="3">
        <v>10.5</v>
      </c>
    </row>
    <row r="56" spans="1:3" x14ac:dyDescent="0.25">
      <c r="A56" s="3">
        <v>55</v>
      </c>
      <c r="B56" s="3">
        <v>10</v>
      </c>
      <c r="C56" s="3">
        <v>9.6999999999999993</v>
      </c>
    </row>
    <row r="57" spans="1:3" x14ac:dyDescent="0.25">
      <c r="A57" s="3">
        <v>56</v>
      </c>
      <c r="B57" s="3">
        <v>10</v>
      </c>
      <c r="C57" s="3">
        <v>9.8000000000000007</v>
      </c>
    </row>
    <row r="58" spans="1:3" x14ac:dyDescent="0.25">
      <c r="A58" s="3">
        <v>57</v>
      </c>
      <c r="B58" s="3">
        <v>10</v>
      </c>
      <c r="C58" s="3">
        <v>10.1</v>
      </c>
    </row>
    <row r="59" spans="1:3" x14ac:dyDescent="0.25">
      <c r="A59" s="3">
        <v>58</v>
      </c>
      <c r="B59" s="3">
        <v>10</v>
      </c>
      <c r="C59" s="3">
        <v>9.6</v>
      </c>
    </row>
    <row r="60" spans="1:3" x14ac:dyDescent="0.25">
      <c r="A60" s="3">
        <v>59</v>
      </c>
      <c r="B60" s="3">
        <v>10</v>
      </c>
      <c r="C60" s="3">
        <v>10.6</v>
      </c>
    </row>
    <row r="61" spans="1:3" x14ac:dyDescent="0.25">
      <c r="A61" s="3">
        <v>60</v>
      </c>
      <c r="B61" s="3">
        <v>10</v>
      </c>
      <c r="C61" s="3">
        <v>10.199999999999999</v>
      </c>
    </row>
    <row r="62" spans="1:3" x14ac:dyDescent="0.25">
      <c r="A62" s="3">
        <v>61</v>
      </c>
      <c r="B62" s="3">
        <v>11</v>
      </c>
      <c r="C62" s="3">
        <v>10</v>
      </c>
    </row>
    <row r="63" spans="1:3" x14ac:dyDescent="0.25">
      <c r="A63" s="3">
        <v>62</v>
      </c>
      <c r="B63" s="3">
        <v>11</v>
      </c>
      <c r="C63" s="3">
        <v>10.7</v>
      </c>
    </row>
    <row r="64" spans="1:3" x14ac:dyDescent="0.25">
      <c r="A64" s="3">
        <v>63</v>
      </c>
      <c r="B64" s="3">
        <v>11</v>
      </c>
      <c r="C64" s="3">
        <v>9.9</v>
      </c>
    </row>
    <row r="65" spans="1:3" x14ac:dyDescent="0.25">
      <c r="A65" s="3">
        <v>64</v>
      </c>
      <c r="B65" s="3">
        <v>11</v>
      </c>
      <c r="C65" s="3">
        <v>9.4</v>
      </c>
    </row>
    <row r="66" spans="1:3" x14ac:dyDescent="0.25">
      <c r="A66" s="3">
        <v>65</v>
      </c>
      <c r="B66" s="3">
        <v>11</v>
      </c>
      <c r="C66" s="3">
        <v>10.199999999999999</v>
      </c>
    </row>
    <row r="67" spans="1:3" x14ac:dyDescent="0.25">
      <c r="A67" s="3">
        <v>66</v>
      </c>
      <c r="B67" s="3">
        <v>11</v>
      </c>
      <c r="C67" s="3">
        <v>9.8000000000000007</v>
      </c>
    </row>
    <row r="68" spans="1:3" x14ac:dyDescent="0.25">
      <c r="A68" s="3">
        <v>67</v>
      </c>
      <c r="B68" s="3">
        <v>12</v>
      </c>
      <c r="C68" s="3">
        <v>9.6999999999999993</v>
      </c>
    </row>
    <row r="69" spans="1:3" x14ac:dyDescent="0.25">
      <c r="A69" s="3">
        <v>68</v>
      </c>
      <c r="B69" s="3">
        <v>12</v>
      </c>
      <c r="C69" s="3">
        <v>9.9</v>
      </c>
    </row>
    <row r="70" spans="1:3" x14ac:dyDescent="0.25">
      <c r="A70" s="3">
        <v>69</v>
      </c>
      <c r="B70" s="3">
        <v>12</v>
      </c>
      <c r="C70" s="3">
        <v>10</v>
      </c>
    </row>
    <row r="71" spans="1:3" x14ac:dyDescent="0.25">
      <c r="A71" s="3">
        <v>70</v>
      </c>
      <c r="B71" s="3">
        <v>12</v>
      </c>
      <c r="C71" s="3">
        <v>9.6</v>
      </c>
    </row>
    <row r="72" spans="1:3" x14ac:dyDescent="0.25">
      <c r="A72" s="3">
        <v>71</v>
      </c>
      <c r="B72" s="3">
        <v>12</v>
      </c>
      <c r="C72" s="3">
        <v>10.4</v>
      </c>
    </row>
    <row r="73" spans="1:3" x14ac:dyDescent="0.25">
      <c r="A73" s="3">
        <v>72</v>
      </c>
      <c r="B73" s="3">
        <v>12</v>
      </c>
      <c r="C73" s="3">
        <v>9.6</v>
      </c>
    </row>
    <row r="74" spans="1:3" x14ac:dyDescent="0.25">
      <c r="A74" s="3">
        <v>73</v>
      </c>
      <c r="B74" s="3">
        <v>13</v>
      </c>
      <c r="C74" s="3">
        <v>9.6</v>
      </c>
    </row>
    <row r="75" spans="1:3" x14ac:dyDescent="0.25">
      <c r="A75" s="3">
        <v>74</v>
      </c>
      <c r="B75" s="3">
        <v>13</v>
      </c>
      <c r="C75" s="3">
        <v>9.6</v>
      </c>
    </row>
    <row r="76" spans="1:3" x14ac:dyDescent="0.25">
      <c r="A76" s="3">
        <v>75</v>
      </c>
      <c r="B76" s="3">
        <v>13</v>
      </c>
      <c r="C76" s="3">
        <v>10.3</v>
      </c>
    </row>
    <row r="77" spans="1:3" x14ac:dyDescent="0.25">
      <c r="A77" s="3">
        <v>76</v>
      </c>
      <c r="B77" s="3">
        <v>13</v>
      </c>
      <c r="C77" s="3">
        <v>9.8000000000000007</v>
      </c>
    </row>
    <row r="78" spans="1:3" x14ac:dyDescent="0.25">
      <c r="A78" s="3">
        <v>77</v>
      </c>
      <c r="B78" s="3">
        <v>13</v>
      </c>
      <c r="C78" s="3">
        <v>9.8000000000000007</v>
      </c>
    </row>
    <row r="79" spans="1:3" x14ac:dyDescent="0.25">
      <c r="A79" s="3">
        <v>78</v>
      </c>
      <c r="B79" s="3">
        <v>13</v>
      </c>
      <c r="C79" s="3">
        <v>10.4</v>
      </c>
    </row>
    <row r="80" spans="1:3" x14ac:dyDescent="0.25">
      <c r="A80" s="3">
        <v>79</v>
      </c>
      <c r="B80" s="3">
        <v>14</v>
      </c>
      <c r="C80" s="3">
        <v>10.199999999999999</v>
      </c>
    </row>
    <row r="81" spans="1:3" x14ac:dyDescent="0.25">
      <c r="A81" s="3">
        <v>80</v>
      </c>
      <c r="B81" s="3">
        <v>14</v>
      </c>
      <c r="C81" s="3">
        <v>10.1</v>
      </c>
    </row>
    <row r="82" spans="1:3" x14ac:dyDescent="0.25">
      <c r="A82" s="3">
        <v>81</v>
      </c>
      <c r="B82" s="3">
        <v>14</v>
      </c>
      <c r="C82" s="3">
        <v>9</v>
      </c>
    </row>
    <row r="83" spans="1:3" x14ac:dyDescent="0.25">
      <c r="A83" s="3">
        <v>82</v>
      </c>
      <c r="B83" s="3">
        <v>14</v>
      </c>
      <c r="C83" s="3">
        <v>9.9</v>
      </c>
    </row>
    <row r="84" spans="1:3" x14ac:dyDescent="0.25">
      <c r="A84" s="3">
        <v>83</v>
      </c>
      <c r="B84" s="3">
        <v>14</v>
      </c>
      <c r="C84" s="3">
        <v>10.3</v>
      </c>
    </row>
    <row r="85" spans="1:3" x14ac:dyDescent="0.25">
      <c r="A85" s="3">
        <v>84</v>
      </c>
      <c r="B85" s="3">
        <v>14</v>
      </c>
      <c r="C85" s="3">
        <v>9.8000000000000007</v>
      </c>
    </row>
    <row r="86" spans="1:3" x14ac:dyDescent="0.25">
      <c r="A86" s="3">
        <v>85</v>
      </c>
      <c r="B86" s="3">
        <v>15</v>
      </c>
      <c r="C86" s="3">
        <v>10.199999999999999</v>
      </c>
    </row>
    <row r="87" spans="1:3" x14ac:dyDescent="0.25">
      <c r="A87" s="3">
        <v>86</v>
      </c>
      <c r="B87" s="3">
        <v>15</v>
      </c>
      <c r="C87" s="3">
        <v>10.1</v>
      </c>
    </row>
    <row r="88" spans="1:3" x14ac:dyDescent="0.25">
      <c r="A88" s="3">
        <v>87</v>
      </c>
      <c r="B88" s="3">
        <v>15</v>
      </c>
      <c r="C88" s="3">
        <v>9.4</v>
      </c>
    </row>
    <row r="89" spans="1:3" x14ac:dyDescent="0.25">
      <c r="A89" s="3">
        <v>88</v>
      </c>
      <c r="B89" s="3">
        <v>15</v>
      </c>
      <c r="C89" s="3">
        <v>9.5</v>
      </c>
    </row>
    <row r="90" spans="1:3" x14ac:dyDescent="0.25">
      <c r="A90" s="3">
        <v>89</v>
      </c>
      <c r="B90" s="3">
        <v>15</v>
      </c>
      <c r="C90" s="3">
        <v>9.5</v>
      </c>
    </row>
    <row r="91" spans="1:3" x14ac:dyDescent="0.25">
      <c r="A91" s="3">
        <v>90</v>
      </c>
      <c r="B91" s="3">
        <v>15</v>
      </c>
      <c r="C91" s="3">
        <v>9.8000000000000007</v>
      </c>
    </row>
    <row r="92" spans="1:3" x14ac:dyDescent="0.25">
      <c r="A92" s="3">
        <v>91</v>
      </c>
      <c r="B92" s="3">
        <v>16</v>
      </c>
      <c r="C92" s="3">
        <v>10.3</v>
      </c>
    </row>
    <row r="93" spans="1:3" x14ac:dyDescent="0.25">
      <c r="A93" s="3">
        <v>92</v>
      </c>
      <c r="B93" s="3">
        <v>16</v>
      </c>
      <c r="C93" s="3">
        <v>10.4</v>
      </c>
    </row>
    <row r="94" spans="1:3" x14ac:dyDescent="0.25">
      <c r="A94" s="3">
        <v>93</v>
      </c>
      <c r="B94" s="3">
        <v>16</v>
      </c>
      <c r="C94" s="3">
        <v>10.1</v>
      </c>
    </row>
    <row r="95" spans="1:3" x14ac:dyDescent="0.25">
      <c r="A95" s="3">
        <v>94</v>
      </c>
      <c r="B95" s="3">
        <v>16</v>
      </c>
      <c r="C95" s="3">
        <v>9.6999999999999993</v>
      </c>
    </row>
    <row r="96" spans="1:3" x14ac:dyDescent="0.25">
      <c r="A96" s="3">
        <v>95</v>
      </c>
      <c r="B96" s="3">
        <v>16</v>
      </c>
      <c r="C96" s="3">
        <v>9.9</v>
      </c>
    </row>
    <row r="97" spans="1:3" x14ac:dyDescent="0.25">
      <c r="A97" s="3">
        <v>96</v>
      </c>
      <c r="B97" s="3">
        <v>16</v>
      </c>
      <c r="C97" s="3">
        <v>10.199999999999999</v>
      </c>
    </row>
    <row r="98" spans="1:3" x14ac:dyDescent="0.25">
      <c r="A98" s="3">
        <v>97</v>
      </c>
      <c r="B98" s="3">
        <v>17</v>
      </c>
      <c r="C98" s="3">
        <v>10.1</v>
      </c>
    </row>
    <row r="99" spans="1:3" x14ac:dyDescent="0.25">
      <c r="A99" s="3">
        <v>98</v>
      </c>
      <c r="B99" s="3">
        <v>17</v>
      </c>
      <c r="C99" s="3">
        <v>9.1999999999999993</v>
      </c>
    </row>
    <row r="100" spans="1:3" x14ac:dyDescent="0.25">
      <c r="A100" s="3">
        <v>99</v>
      </c>
      <c r="B100" s="3">
        <v>17</v>
      </c>
      <c r="C100" s="3">
        <v>10.5</v>
      </c>
    </row>
    <row r="101" spans="1:3" x14ac:dyDescent="0.25">
      <c r="A101" s="3">
        <v>100</v>
      </c>
      <c r="B101" s="3">
        <v>17</v>
      </c>
      <c r="C101" s="3">
        <v>9.9</v>
      </c>
    </row>
    <row r="102" spans="1:3" x14ac:dyDescent="0.25">
      <c r="A102" s="3">
        <v>101</v>
      </c>
      <c r="B102" s="3">
        <v>17</v>
      </c>
      <c r="C102" s="3">
        <v>10</v>
      </c>
    </row>
    <row r="103" spans="1:3" x14ac:dyDescent="0.25">
      <c r="A103" s="3">
        <v>102</v>
      </c>
      <c r="B103" s="3">
        <v>17</v>
      </c>
      <c r="C103" s="3">
        <v>9.9</v>
      </c>
    </row>
    <row r="104" spans="1:3" x14ac:dyDescent="0.25">
      <c r="A104" s="3">
        <v>103</v>
      </c>
      <c r="B104" s="3">
        <v>18</v>
      </c>
      <c r="C104" s="3">
        <v>10.3</v>
      </c>
    </row>
    <row r="105" spans="1:3" x14ac:dyDescent="0.25">
      <c r="A105" s="3">
        <v>104</v>
      </c>
      <c r="B105" s="3">
        <v>18</v>
      </c>
      <c r="C105" s="3">
        <v>9.8000000000000007</v>
      </c>
    </row>
    <row r="106" spans="1:3" x14ac:dyDescent="0.25">
      <c r="A106" s="3">
        <v>105</v>
      </c>
      <c r="B106" s="3">
        <v>18</v>
      </c>
      <c r="C106" s="3">
        <v>9.6</v>
      </c>
    </row>
    <row r="107" spans="1:3" x14ac:dyDescent="0.25">
      <c r="A107" s="3">
        <v>106</v>
      </c>
      <c r="B107" s="3">
        <v>18</v>
      </c>
      <c r="C107" s="3">
        <v>10.1</v>
      </c>
    </row>
    <row r="108" spans="1:3" x14ac:dyDescent="0.25">
      <c r="A108" s="3">
        <v>107</v>
      </c>
      <c r="B108" s="3">
        <v>18</v>
      </c>
      <c r="C108" s="3">
        <v>9.6999999999999993</v>
      </c>
    </row>
    <row r="109" spans="1:3" x14ac:dyDescent="0.25">
      <c r="A109" s="3">
        <v>108</v>
      </c>
      <c r="B109" s="3">
        <v>18</v>
      </c>
      <c r="C109" s="3">
        <v>9.8000000000000007</v>
      </c>
    </row>
    <row r="110" spans="1:3" x14ac:dyDescent="0.25">
      <c r="A110" s="3">
        <v>109</v>
      </c>
      <c r="B110" s="3">
        <v>19</v>
      </c>
      <c r="C110" s="3">
        <v>9.8000000000000007</v>
      </c>
    </row>
    <row r="111" spans="1:3" x14ac:dyDescent="0.25">
      <c r="A111" s="3">
        <v>110</v>
      </c>
      <c r="B111" s="3">
        <v>19</v>
      </c>
      <c r="C111" s="3">
        <v>10</v>
      </c>
    </row>
    <row r="112" spans="1:3" x14ac:dyDescent="0.25">
      <c r="A112" s="3">
        <v>111</v>
      </c>
      <c r="B112" s="3">
        <v>19</v>
      </c>
      <c r="C112" s="3">
        <v>10.3</v>
      </c>
    </row>
    <row r="113" spans="1:3" x14ac:dyDescent="0.25">
      <c r="A113" s="3">
        <v>112</v>
      </c>
      <c r="B113" s="3">
        <v>19</v>
      </c>
      <c r="C113" s="3">
        <v>10.4</v>
      </c>
    </row>
    <row r="114" spans="1:3" x14ac:dyDescent="0.25">
      <c r="A114" s="3">
        <v>113</v>
      </c>
      <c r="B114" s="3">
        <v>19</v>
      </c>
      <c r="C114" s="3">
        <v>10.4</v>
      </c>
    </row>
    <row r="115" spans="1:3" x14ac:dyDescent="0.25">
      <c r="A115" s="3">
        <v>114</v>
      </c>
      <c r="B115" s="3">
        <v>19</v>
      </c>
      <c r="C115" s="3">
        <v>9.6999999999999993</v>
      </c>
    </row>
    <row r="116" spans="1:3" x14ac:dyDescent="0.25">
      <c r="A116" s="3">
        <v>115</v>
      </c>
      <c r="B116" s="3">
        <v>20</v>
      </c>
      <c r="C116" s="3">
        <v>10.1</v>
      </c>
    </row>
    <row r="117" spans="1:3" x14ac:dyDescent="0.25">
      <c r="A117" s="3">
        <v>116</v>
      </c>
      <c r="B117" s="3">
        <v>20</v>
      </c>
      <c r="C117" s="3">
        <v>9.6999999999999993</v>
      </c>
    </row>
    <row r="118" spans="1:3" x14ac:dyDescent="0.25">
      <c r="A118" s="3">
        <v>117</v>
      </c>
      <c r="B118" s="3">
        <v>20</v>
      </c>
      <c r="C118" s="3">
        <v>10</v>
      </c>
    </row>
    <row r="119" spans="1:3" x14ac:dyDescent="0.25">
      <c r="A119" s="3">
        <v>118</v>
      </c>
      <c r="B119" s="3">
        <v>20</v>
      </c>
      <c r="C119" s="3">
        <v>9.8000000000000007</v>
      </c>
    </row>
    <row r="120" spans="1:3" x14ac:dyDescent="0.25">
      <c r="A120" s="3">
        <v>119</v>
      </c>
      <c r="B120" s="3">
        <v>20</v>
      </c>
      <c r="C120" s="3">
        <v>9.8000000000000007</v>
      </c>
    </row>
    <row r="121" spans="1:3" x14ac:dyDescent="0.25">
      <c r="A121" s="3">
        <v>120</v>
      </c>
      <c r="B121" s="3">
        <v>20</v>
      </c>
      <c r="C121" s="3">
        <v>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X-bar S^2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Abela</cp:lastModifiedBy>
  <dcterms:modified xsi:type="dcterms:W3CDTF">2023-04-14T20:05:14Z</dcterms:modified>
</cp:coreProperties>
</file>